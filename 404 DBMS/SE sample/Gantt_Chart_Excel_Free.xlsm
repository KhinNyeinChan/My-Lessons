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ditTask64.png" ContentType="application/octet-stream"/>
  <Override PartName="/customUI/images/AddGanttChart64.png" ContentType="application/octet-stream"/>
  <Override PartName="/customUI/images/AddMilestone64.png" ContentType="application/octet-stream"/>
  <Override PartName="/customUI/images/AddTask64.png" ContentType="application/octet-stream"/>
  <Override PartName="/customUI/images/AddSection64.png" ContentType="application/octet-stream"/>
  <Override PartName="/customUI/images/deleteTask64.png" ContentType="application/octet-stream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spire\Desktop\SE sample\"/>
    </mc:Choice>
  </mc:AlternateContent>
  <bookViews>
    <workbookView xWindow="0" yWindow="0" windowWidth="20730" windowHeight="11760" tabRatio="433" firstSheet="3" activeTab="4"/>
  </bookViews>
  <sheets>
    <sheet name="DashboardTemplate" sheetId="3" state="veryHidden" r:id="rId1"/>
    <sheet name="Template" sheetId="4" state="veryHidden" r:id="rId2"/>
    <sheet name="ganttsettings" sheetId="38" state="veryHidden" r:id="rId3"/>
    <sheet name="Help" sheetId="7" r:id="rId4"/>
    <sheet name="Project Plan" sheetId="40" r:id="rId5"/>
    <sheet name="GCS-1" sheetId="39" state="veryHidden" r:id="rId6"/>
  </sheets>
  <functionGroups builtInGroupCount="18"/>
  <definedNames>
    <definedName name="_xlnm.Print_Area" localSheetId="0">DashboardTemplate!$B$1:$G$69</definedName>
    <definedName name="_xlnm.Print_Titles" localSheetId="0">DashboardTemplate!$2:$2</definedName>
  </definedNames>
  <calcPr calcId="162913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13" i="3" l="1"/>
  <c r="Z13" i="3" s="1"/>
  <c r="Y12" i="3"/>
  <c r="Z12" i="3" s="1"/>
  <c r="E12" i="3"/>
  <c r="Y11" i="3"/>
  <c r="Z11" i="3" s="1"/>
  <c r="E11" i="3"/>
  <c r="E10" i="3"/>
  <c r="E9" i="3"/>
  <c r="Y8" i="3"/>
  <c r="Y9" i="3" s="1"/>
  <c r="Z9" i="3" s="1"/>
  <c r="E8" i="3"/>
  <c r="Z7" i="3"/>
  <c r="E7" i="3"/>
  <c r="Z6" i="3"/>
  <c r="E6" i="3"/>
  <c r="X3" i="3"/>
  <c r="Y3" i="3" s="1"/>
  <c r="X16" i="3"/>
  <c r="E4" i="3" l="1"/>
  <c r="Z8" i="3"/>
</calcChain>
</file>

<file path=xl/sharedStrings.xml><?xml version="1.0" encoding="utf-8"?>
<sst xmlns="http://schemas.openxmlformats.org/spreadsheetml/2006/main" count="568" uniqueCount="239">
  <si>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</si>
  <si>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</si>
  <si>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</si>
  <si>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</si>
  <si>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</si>
  <si>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</si>
  <si>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</si>
  <si>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</si>
  <si>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</si>
  <si>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</si>
  <si>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</si>
  <si>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</si>
  <si>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</si>
  <si>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</si>
  <si>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</si>
  <si>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Row Labels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</si>
  <si>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</si>
  <si>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</si>
  <si>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</si>
  <si>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</si>
  <si>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</si>
  <si>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</si>
  <si>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</si>
  <si>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</si>
  <si>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</si>
  <si>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</si>
  <si>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</si>
  <si>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</si>
  <si>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</si>
  <si>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</si>
  <si>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</si>
  <si>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</si>
  <si>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</si>
  <si>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</si>
  <si>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</si>
  <si>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</si>
  <si>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</si>
  <si>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</si>
  <si>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</si>
  <si>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</si>
  <si>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</si>
  <si>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</si>
  <si>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</si>
  <si>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</si>
  <si>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</si>
  <si>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</si>
  <si>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</si>
  <si>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</si>
  <si>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</si>
  <si>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</si>
  <si>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</si>
  <si>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</si>
  <si>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</si>
  <si>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</si>
  <si>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</si>
  <si>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</si>
  <si>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</si>
  <si>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</si>
  <si>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</si>
  <si>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</si>
  <si>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</si>
  <si>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</si>
  <si>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</si>
  <si>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</si>
  <si>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</si>
  <si>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</si>
  <si>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</si>
  <si>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</si>
  <si>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</si>
  <si>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</si>
  <si>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</si>
  <si>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</si>
  <si>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</si>
  <si>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</si>
  <si>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</si>
  <si>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</si>
  <si>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</si>
  <si>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</si>
  <si>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</si>
  <si>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</si>
  <si>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</si>
  <si>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</si>
  <si>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</si>
  <si>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</si>
  <si>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</si>
  <si>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</si>
  <si>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</si>
  <si>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</si>
  <si>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EnableBarText</t>
  </si>
  <si>
    <t>vidud</t>
  </si>
  <si>
    <t>chirun</t>
  </si>
  <si>
    <t>peru</t>
  </si>
  <si>
    <t>ShowDependencyConnector</t>
  </si>
  <si>
    <t>ShowTodayLines</t>
  </si>
  <si>
    <t>DateFormat</t>
  </si>
  <si>
    <t>ShowGrouping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</si>
  <si>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</si>
  <si>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</si>
  <si>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</si>
  <si>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</si>
  <si>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</si>
  <si>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</si>
  <si>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</si>
  <si>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</si>
  <si>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</si>
  <si>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</si>
  <si>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</si>
  <si>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</si>
  <si>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</si>
  <si>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</si>
  <si>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</si>
  <si>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</si>
  <si>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</si>
  <si>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</si>
  <si>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</si>
  <si>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</si>
  <si>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CurrencySymbol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</si>
  <si>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</si>
  <si>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</si>
  <si>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</si>
  <si>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</si>
  <si>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</si>
  <si>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</si>
  <si>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</si>
  <si>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</si>
  <si>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</si>
  <si>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</si>
  <si>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</si>
  <si>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</si>
  <si>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</si>
  <si>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</si>
  <si>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</si>
  <si>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</si>
  <si>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</si>
  <si>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</si>
  <si>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(blank)</t>
  </si>
  <si>
    <t>liky</t>
  </si>
  <si>
    <t>0</t>
  </si>
  <si>
    <t>1</t>
  </si>
  <si>
    <t>Lead Generation</t>
  </si>
  <si>
    <t>31,726</t>
  </si>
  <si>
    <t>MP</t>
  </si>
  <si>
    <t>Percent Complete</t>
  </si>
  <si>
    <t>(All)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</si>
  <si>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</si>
  <si>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</si>
  <si>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</si>
  <si>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</si>
  <si>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</si>
  <si>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</si>
  <si>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</si>
  <si>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</si>
  <si>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</si>
  <si>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</si>
  <si>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PercentageEntryMode</t>
  </si>
  <si>
    <t>PercentageCalculationType</t>
  </si>
  <si>
    <t>manual</t>
  </si>
  <si>
    <t>simple</t>
  </si>
  <si>
    <t>Click here for help to Enable Macros</t>
  </si>
  <si>
    <t>ShowOverdueBar</t>
  </si>
  <si>
    <t>For Windows Excel versions 2007 - 2016 and MAC Excel Version 2016 v16.9 and above</t>
  </si>
  <si>
    <t>FiSa</t>
  </si>
  <si>
    <t>asdflkjl</t>
  </si>
  <si>
    <t>;J=,F\)-'+%tyzivm":YHs</t>
  </si>
  <si>
    <t>Resource Name</t>
  </si>
  <si>
    <t>Holiday Name</t>
  </si>
  <si>
    <t>Holiday Date</t>
  </si>
  <si>
    <t>Click Update Values once done</t>
  </si>
  <si>
    <t>Theme Name</t>
  </si>
  <si>
    <t>Dark</t>
  </si>
  <si>
    <t>Milestone</t>
  </si>
  <si>
    <t>Estimated Bar</t>
  </si>
  <si>
    <t>Baseline Bar</t>
  </si>
  <si>
    <t>Actual Bar</t>
  </si>
  <si>
    <t>Overdue Bar</t>
  </si>
  <si>
    <t>Dependency Connectors</t>
  </si>
  <si>
    <t>Today Line</t>
  </si>
  <si>
    <t>Task Border</t>
  </si>
  <si>
    <t>Classic</t>
  </si>
  <si>
    <t>Blue</t>
  </si>
  <si>
    <t>Excel</t>
  </si>
  <si>
    <t>Selected Theme</t>
  </si>
  <si>
    <t>Project Bar</t>
  </si>
  <si>
    <t>Header Bar</t>
  </si>
  <si>
    <t>TimelineColWidth</t>
  </si>
  <si>
    <t>Custom</t>
  </si>
  <si>
    <t>Holidays</t>
  </si>
  <si>
    <t>NonWorking Days</t>
  </si>
  <si>
    <t>Cal Row 2</t>
  </si>
  <si>
    <t>Cal Row 3</t>
  </si>
  <si>
    <t>Cal Row1-1</t>
  </si>
  <si>
    <t>Cal Row1-2</t>
  </si>
  <si>
    <t>ProjectSheetName</t>
  </si>
  <si>
    <t xml:space="preserve">Please enter values carefully. </t>
  </si>
  <si>
    <r>
      <rPr>
        <b/>
        <sz val="11"/>
        <color rgb="FFFF0000"/>
        <rFont val="Calibri"/>
        <family val="2"/>
        <scheme val="minor"/>
      </rPr>
      <t>DO NOT</t>
    </r>
    <r>
      <rPr>
        <sz val="11"/>
        <color rgb="FFFF0000"/>
        <rFont val="Calibri"/>
        <family val="2"/>
        <scheme val="minor"/>
      </rPr>
      <t xml:space="preserve"> change formats/ insert columns/ insert blank rows etc</t>
    </r>
  </si>
  <si>
    <t>TimeWeeks</t>
  </si>
  <si>
    <t>TimeMonths</t>
  </si>
  <si>
    <t>TimeQuarters</t>
  </si>
  <si>
    <t>TimeHalfs</t>
  </si>
  <si>
    <t>TimeYears</t>
  </si>
  <si>
    <t>WeekWidth</t>
  </si>
  <si>
    <t>MonthWidth</t>
  </si>
  <si>
    <t>QuarterWidth</t>
  </si>
  <si>
    <t>DayWidth</t>
  </si>
  <si>
    <t>HalfWidth</t>
  </si>
  <si>
    <t>YearlyWidth</t>
  </si>
  <si>
    <t>Project Lead:</t>
  </si>
  <si>
    <t>INSTRUCTIONS - READ THIS:</t>
  </si>
  <si>
    <t>Use the Gantt Tab in the Excel Ribbon to Create, view and edit Gantt Charts</t>
  </si>
  <si>
    <t>2.71.4</t>
  </si>
  <si>
    <t>Text Gantt Bar</t>
  </si>
  <si>
    <t>TimeDays</t>
  </si>
  <si>
    <r>
      <rPr>
        <b/>
        <sz val="11"/>
        <color rgb="FFFF0000"/>
        <rFont val="Calibri"/>
        <family val="2"/>
        <scheme val="minor"/>
      </rPr>
      <t>DO NOT Delete or R</t>
    </r>
    <r>
      <rPr>
        <sz val="11"/>
        <color rgb="FFFF0000"/>
        <rFont val="Calibri"/>
        <family val="2"/>
        <scheme val="minor"/>
      </rPr>
      <t>ename this worksheet</t>
    </r>
  </si>
  <si>
    <t>T42VP</t>
  </si>
  <si>
    <t>TR7+{.SK</t>
  </si>
  <si>
    <t>N4fL3sgyYf-Gm2xds9E-6dG7b72mev</t>
  </si>
  <si>
    <t>e|f!Crfp^mtxpq]sj(wgy"h{f</t>
  </si>
  <si>
    <t>GCS-1</t>
  </si>
  <si>
    <t>Project Lead: Double Click to edit</t>
  </si>
  <si>
    <r>
      <t>Budget:</t>
    </r>
    <r>
      <rPr>
        <sz val="10"/>
        <color theme="0" tint="-0.499984740745262"/>
        <rFont val="Calibri"/>
        <family val="2"/>
        <scheme val="minor"/>
      </rPr>
      <t xml:space="preserve"> Estimated: $0.00 | Baseline: $0.00 | </t>
    </r>
    <r>
      <rPr>
        <b/>
        <sz val="10"/>
        <color theme="0" tint="-0.499984740745262"/>
        <rFont val="Calibri"/>
        <family val="2"/>
        <scheme val="minor"/>
      </rPr>
      <t>Cost:</t>
    </r>
    <r>
      <rPr>
        <sz val="10"/>
        <color theme="0" tint="-0.499984740745262"/>
        <rFont val="Calibri"/>
        <family val="2"/>
        <scheme val="minor"/>
      </rPr>
      <t xml:space="preserve"> Estimated: $0.00 | Baseline: $0.00 | Actual: $0.00</t>
    </r>
  </si>
  <si>
    <t>M</t>
  </si>
  <si>
    <t>W</t>
  </si>
  <si>
    <t>F</t>
  </si>
  <si>
    <t>S</t>
  </si>
  <si>
    <t>Feb-19      [W9]</t>
  </si>
  <si>
    <t>Mar-19      [W10]</t>
  </si>
  <si>
    <t>Mar-19      [W11]</t>
  </si>
  <si>
    <t>Mar-19      [W12]</t>
  </si>
  <si>
    <t>Mar-19      [W13]</t>
  </si>
  <si>
    <t>Apr-19      [W14]</t>
  </si>
  <si>
    <t>Project Plan</t>
  </si>
  <si>
    <t>Enable Macros</t>
  </si>
  <si>
    <t>may thu win</t>
  </si>
  <si>
    <t>9713689754235477973946461994864013771059744140</t>
  </si>
  <si>
    <t>@BM=O]C8+ZUp]\l0t3,8Q,n</t>
  </si>
  <si>
    <t>Project Name - Mobile banking</t>
  </si>
  <si>
    <t>wwwwww</t>
  </si>
  <si>
    <t>Apr-19      [W15]</t>
  </si>
  <si>
    <t>Apr-19      [W16]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</si>
</sst>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ddd\ dd/mmm/yy"/>
    <numFmt numFmtId="165" formatCode="&quot;Ft&quot;\ #,##0"/>
    <numFmt numFmtId="166" formatCode="ddd\ dd\-mmm\-yy"/>
    <numFmt numFmtId="167" formatCode="&quot;$&quot;\ #,##0"/>
    <numFmt numFmtId="168" formatCode="&quot;$&quot;\ #,##0.00"/>
    <numFmt numFmtId="169" formatCode="dd\-mmm\-yy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color theme="1" tint="0.34998626667073579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5B9BD5"/>
      <name val="Calibri"/>
      <family val="2"/>
      <scheme val="minor"/>
    </font>
    <font>
      <sz val="11"/>
      <color rgb="FF808080"/>
      <name val="Calibri"/>
      <family val="2"/>
      <scheme val="minor"/>
    </font>
    <font>
      <sz val="8"/>
      <color rgb="FF808080"/>
      <name val="Arial"/>
      <family val="2"/>
    </font>
    <font>
      <sz val="11"/>
      <color rgb="FF0000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7D3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5FBBD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A7E8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DD9FF"/>
        <bgColor indexed="64"/>
      </patternFill>
    </fill>
    <fill>
      <patternFill patternType="solid">
        <fgColor rgb="FFA8E7FE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 style="thin">
        <color rgb="FFCCFFFF"/>
      </top>
      <bottom style="thin">
        <color rgb="FFCCFFFF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rgb="FFCCFFFF"/>
      </top>
      <bottom style="thin">
        <color rgb="FFCCFFFF"/>
      </bottom>
      <diagonal/>
    </border>
    <border>
      <left style="thin">
        <color theme="0" tint="-4.9989318521683403E-2"/>
      </left>
      <right/>
      <top style="thin">
        <color rgb="FFCCFFFF"/>
      </top>
      <bottom style="thin">
        <color rgb="FFCCFFFF"/>
      </bottom>
      <diagonal/>
    </border>
    <border>
      <left/>
      <right style="thin">
        <color rgb="FFD3D3D3"/>
      </right>
      <top style="thin">
        <color rgb="FFCCFFFF"/>
      </top>
      <bottom style="thin">
        <color rgb="FFCCFFFF"/>
      </bottom>
      <diagonal/>
    </border>
    <border>
      <left style="thin">
        <color rgb="FFD3D3D3"/>
      </left>
      <right style="thin">
        <color rgb="FFD3D3D3"/>
      </right>
      <top style="thin">
        <color rgb="FFCCFFFF"/>
      </top>
      <bottom style="thin">
        <color rgb="FFCCFFFF"/>
      </bottom>
      <diagonal/>
    </border>
  </borders>
  <cellStyleXfs count="201">
    <xf numFmtId="0" fontId="0" fillId="0" borderId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</cellStyleXfs>
  <cellXfs count="27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Alignment="1"/>
    <xf numFmtId="0" fontId="4" fillId="4" borderId="0" xfId="2" applyFont="1" applyFill="1" applyAlignment="1" applyProtection="1">
      <protection locked="0"/>
    </xf>
    <xf numFmtId="0" fontId="6" fillId="4" borderId="0" xfId="0" applyFont="1" applyFill="1" applyAlignment="1"/>
    <xf numFmtId="0" fontId="7" fillId="4" borderId="0" xfId="0" applyFont="1" applyFill="1" applyAlignment="1"/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Alignment="1" applyProtection="1">
      <protection locked="0"/>
    </xf>
    <xf numFmtId="9" fontId="0" fillId="0" borderId="0" xfId="0" applyNumberFormat="1" applyAlignment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3" fontId="10" fillId="0" borderId="0" xfId="0" applyNumberFormat="1" applyFont="1" applyBorder="1"/>
    <xf numFmtId="3" fontId="11" fillId="0" borderId="3" xfId="0" applyNumberFormat="1" applyFont="1" applyBorder="1"/>
    <xf numFmtId="0" fontId="9" fillId="0" borderId="3" xfId="0" applyFont="1" applyBorder="1"/>
    <xf numFmtId="3" fontId="9" fillId="0" borderId="0" xfId="0" applyNumberFormat="1" applyFont="1" applyBorder="1"/>
    <xf numFmtId="3" fontId="9" fillId="0" borderId="3" xfId="0" applyNumberFormat="1" applyFont="1" applyBorder="1"/>
    <xf numFmtId="9" fontId="0" fillId="0" borderId="0" xfId="0" applyNumberFormat="1" applyBorder="1" applyAlignment="1" applyProtection="1">
      <alignment horizontal="right"/>
      <protection locked="0"/>
    </xf>
    <xf numFmtId="9" fontId="9" fillId="0" borderId="0" xfId="3" applyFont="1" applyFill="1" applyBorder="1" applyAlignment="1" applyProtection="1">
      <alignment horizontal="center" vertical="top"/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5" fontId="9" fillId="0" borderId="0" xfId="0" applyNumberFormat="1" applyFont="1" applyBorder="1"/>
    <xf numFmtId="15" fontId="9" fillId="0" borderId="3" xfId="0" applyNumberFormat="1" applyFont="1" applyBorder="1"/>
    <xf numFmtId="0" fontId="9" fillId="0" borderId="0" xfId="0" applyFont="1" applyBorder="1" applyAlignment="1">
      <alignment horizontal="right"/>
    </xf>
    <xf numFmtId="0" fontId="9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11" fillId="0" borderId="0" xfId="4" applyFont="1" applyFill="1" applyBorder="1" applyAlignment="1" applyProtection="1">
      <alignment vertical="top"/>
      <protection locked="0"/>
    </xf>
    <xf numFmtId="0" fontId="11" fillId="0" borderId="0" xfId="4" quotePrefix="1" applyNumberFormat="1" applyFont="1" applyFill="1" applyBorder="1" applyAlignment="1" applyProtection="1">
      <alignment horizontal="right" vertical="top"/>
      <protection locked="0"/>
    </xf>
    <xf numFmtId="165" fontId="9" fillId="0" borderId="0" xfId="3" applyNumberFormat="1" applyFont="1" applyFill="1" applyBorder="1" applyAlignment="1" applyProtection="1">
      <alignment horizontal="center" vertical="top"/>
    </xf>
    <xf numFmtId="0" fontId="9" fillId="0" borderId="0" xfId="3" applyNumberFormat="1" applyFont="1" applyFill="1" applyBorder="1" applyAlignment="1" applyProtection="1">
      <alignment horizontal="center" vertical="top"/>
      <protection locked="0"/>
    </xf>
    <xf numFmtId="9" fontId="11" fillId="0" borderId="0" xfId="4" applyNumberFormat="1" applyFont="1" applyFill="1" applyBorder="1" applyAlignment="1" applyProtection="1">
      <alignment horizontal="right" vertical="top"/>
    </xf>
    <xf numFmtId="165" fontId="11" fillId="0" borderId="0" xfId="4" applyNumberFormat="1" applyFont="1" applyFill="1" applyBorder="1" applyAlignment="1" applyProtection="1">
      <alignment vertical="top"/>
    </xf>
    <xf numFmtId="0" fontId="11" fillId="0" borderId="0" xfId="4" applyFont="1" applyFill="1" applyBorder="1" applyAlignment="1" applyProtection="1">
      <alignment vertical="top"/>
    </xf>
    <xf numFmtId="49" fontId="11" fillId="0" borderId="0" xfId="4" applyNumberFormat="1" applyFont="1" applyFill="1" applyBorder="1" applyAlignment="1" applyProtection="1">
      <alignment horizontal="center" vertical="top"/>
    </xf>
    <xf numFmtId="0" fontId="0" fillId="0" borderId="0" xfId="0" applyBorder="1" applyAlignment="1"/>
    <xf numFmtId="0" fontId="9" fillId="0" borderId="0" xfId="4" applyFont="1" applyAlignment="1" applyProtection="1">
      <alignment horizontal="center" vertical="top"/>
      <protection locked="0"/>
    </xf>
    <xf numFmtId="0" fontId="9" fillId="0" borderId="0" xfId="4" applyNumberFormat="1" applyFont="1" applyFill="1" applyBorder="1" applyAlignment="1" applyProtection="1">
      <alignment horizontal="center" vertical="top"/>
      <protection locked="0"/>
    </xf>
    <xf numFmtId="0" fontId="9" fillId="0" borderId="0" xfId="4" applyFont="1" applyFill="1" applyBorder="1" applyAlignment="1" applyProtection="1">
      <alignment horizontal="center" vertical="top"/>
      <protection locked="0"/>
    </xf>
    <xf numFmtId="0" fontId="9" fillId="0" borderId="0" xfId="4" applyFont="1" applyBorder="1" applyAlignment="1" applyProtection="1">
      <alignment horizontal="center" vertical="top"/>
      <protection locked="0"/>
    </xf>
    <xf numFmtId="0" fontId="11" fillId="0" borderId="0" xfId="4" applyFont="1" applyBorder="1" applyAlignment="1" applyProtection="1">
      <alignment vertical="top"/>
      <protection locked="0"/>
    </xf>
    <xf numFmtId="166" fontId="11" fillId="0" borderId="0" xfId="4" applyNumberFormat="1" applyFont="1" applyBorder="1" applyAlignment="1" applyProtection="1">
      <alignment vertical="top"/>
      <protection locked="0"/>
    </xf>
    <xf numFmtId="49" fontId="11" fillId="0" borderId="0" xfId="4" applyNumberFormat="1" applyFont="1" applyFill="1" applyBorder="1" applyAlignment="1" applyProtection="1">
      <alignment horizontal="right" vertical="top"/>
      <protection locked="0"/>
    </xf>
    <xf numFmtId="0" fontId="8" fillId="0" borderId="0" xfId="4" applyNumberFormat="1" applyFill="1" applyBorder="1" applyAlignmen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 applyProtection="1">
      <alignment horizontal="left" vertical="center"/>
      <protection locked="0"/>
    </xf>
    <xf numFmtId="0" fontId="0" fillId="4" borderId="0" xfId="0" applyFill="1"/>
    <xf numFmtId="0" fontId="8" fillId="0" borderId="0" xfId="4" applyFill="1" applyBorder="1" applyProtection="1"/>
    <xf numFmtId="0" fontId="8" fillId="0" borderId="0" xfId="4" applyFont="1" applyFill="1" applyBorder="1" applyProtection="1"/>
    <xf numFmtId="0" fontId="11" fillId="0" borderId="0" xfId="4" applyFont="1" applyProtection="1"/>
    <xf numFmtId="0" fontId="11" fillId="0" borderId="0" xfId="4" applyNumberFormat="1" applyFont="1" applyFill="1" applyBorder="1" applyAlignment="1" applyProtection="1">
      <alignment horizontal="left" vertical="top" wrapText="1"/>
      <protection locked="0"/>
    </xf>
    <xf numFmtId="9" fontId="9" fillId="0" borderId="0" xfId="3" applyFont="1" applyFill="1" applyBorder="1" applyAlignment="1" applyProtection="1">
      <alignment horizontal="center" vertical="top" wrapText="1"/>
      <protection locked="0"/>
    </xf>
    <xf numFmtId="3" fontId="11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1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1" fillId="0" borderId="0" xfId="4" applyNumberFormat="1" applyFont="1" applyFill="1" applyBorder="1" applyAlignment="1" applyProtection="1">
      <alignment vertical="top" wrapText="1"/>
      <protection locked="0"/>
    </xf>
    <xf numFmtId="0" fontId="11" fillId="0" borderId="0" xfId="4" applyFont="1" applyFill="1" applyBorder="1" applyAlignment="1" applyProtection="1">
      <alignment vertical="top" wrapText="1"/>
      <protection locked="0"/>
    </xf>
    <xf numFmtId="0" fontId="14" fillId="0" borderId="0" xfId="4" applyFont="1" applyFill="1" applyBorder="1" applyAlignment="1" applyProtection="1">
      <alignment horizontal="left" vertical="top" wrapText="1"/>
      <protection locked="0"/>
    </xf>
    <xf numFmtId="0" fontId="8" fillId="0" borderId="0" xfId="4" applyFill="1" applyBorder="1" applyAlignment="1" applyProtection="1"/>
    <xf numFmtId="9" fontId="15" fillId="5" borderId="6" xfId="4" applyNumberFormat="1" applyFont="1" applyFill="1" applyBorder="1" applyAlignment="1" applyProtection="1">
      <alignment horizontal="center" vertical="top" wrapText="1"/>
      <protection locked="0"/>
    </xf>
    <xf numFmtId="0" fontId="15" fillId="5" borderId="7" xfId="4" applyNumberFormat="1" applyFont="1" applyFill="1" applyBorder="1" applyAlignment="1" applyProtection="1">
      <alignment horizontal="center" vertical="top" wrapText="1"/>
      <protection locked="0"/>
    </xf>
    <xf numFmtId="166" fontId="15" fillId="5" borderId="7" xfId="4" applyNumberFormat="1" applyFont="1" applyFill="1" applyBorder="1" applyAlignment="1" applyProtection="1">
      <alignment horizontal="center" vertical="top" wrapText="1"/>
      <protection locked="0"/>
    </xf>
    <xf numFmtId="166" fontId="15" fillId="5" borderId="6" xfId="4" applyNumberFormat="1" applyFont="1" applyFill="1" applyBorder="1" applyAlignment="1" applyProtection="1">
      <alignment horizontal="center" vertical="top" wrapText="1"/>
      <protection locked="0"/>
    </xf>
    <xf numFmtId="0" fontId="15" fillId="5" borderId="6" xfId="4" applyFont="1" applyFill="1" applyBorder="1" applyAlignment="1" applyProtection="1">
      <alignment horizontal="center" vertical="top" wrapText="1"/>
      <protection locked="0"/>
    </xf>
    <xf numFmtId="0" fontId="15" fillId="5" borderId="6" xfId="4" applyFont="1" applyFill="1" applyBorder="1" applyAlignment="1" applyProtection="1">
      <alignment horizontal="left" vertical="top" wrapText="1"/>
      <protection locked="0"/>
    </xf>
    <xf numFmtId="0" fontId="15" fillId="5" borderId="6" xfId="4" applyFont="1" applyFill="1" applyBorder="1" applyAlignment="1" applyProtection="1">
      <alignment horizontal="left" vertical="top" wrapText="1"/>
    </xf>
    <xf numFmtId="0" fontId="16" fillId="0" borderId="0" xfId="0" applyFont="1" applyBorder="1" applyAlignment="1" applyProtection="1">
      <protection locked="0"/>
    </xf>
    <xf numFmtId="0" fontId="16" fillId="0" borderId="8" xfId="0" applyNumberFormat="1" applyFont="1" applyBorder="1" applyAlignment="1" applyProtection="1">
      <protection locked="0"/>
    </xf>
    <xf numFmtId="0" fontId="16" fillId="0" borderId="8" xfId="0" applyFont="1" applyBorder="1" applyAlignment="1" applyProtection="1">
      <protection locked="0"/>
    </xf>
    <xf numFmtId="0" fontId="16" fillId="0" borderId="8" xfId="0" applyFont="1" applyBorder="1" applyAlignment="1" applyProtection="1">
      <alignment horizontal="left"/>
    </xf>
    <xf numFmtId="0" fontId="1" fillId="3" borderId="0" xfId="0" applyFont="1" applyFill="1" applyProtection="1">
      <protection locked="0"/>
    </xf>
    <xf numFmtId="0" fontId="17" fillId="3" borderId="0" xfId="0" applyNumberFormat="1" applyFont="1" applyFill="1" applyProtection="1">
      <protection locked="0"/>
    </xf>
    <xf numFmtId="0" fontId="17" fillId="3" borderId="0" xfId="0" applyFont="1" applyFill="1" applyProtection="1">
      <protection locked="0"/>
    </xf>
    <xf numFmtId="0" fontId="18" fillId="3" borderId="0" xfId="4" applyFont="1" applyFill="1" applyAlignment="1" applyProtection="1">
      <protection locked="0"/>
    </xf>
    <xf numFmtId="0" fontId="19" fillId="6" borderId="0" xfId="4" applyFont="1" applyFill="1" applyAlignment="1" applyProtection="1">
      <alignment vertical="center"/>
      <protection locked="0"/>
    </xf>
    <xf numFmtId="0" fontId="19" fillId="6" borderId="0" xfId="4" applyFont="1" applyFill="1" applyAlignment="1" applyProtection="1">
      <alignment horizontal="right" vertical="center"/>
      <protection locked="0"/>
    </xf>
    <xf numFmtId="0" fontId="19" fillId="6" borderId="0" xfId="4" applyNumberFormat="1" applyFont="1" applyFill="1" applyAlignment="1" applyProtection="1">
      <alignment vertical="center"/>
      <protection locked="0"/>
    </xf>
    <xf numFmtId="0" fontId="9" fillId="0" borderId="0" xfId="4" applyFont="1" applyAlignment="1" applyProtection="1">
      <alignment horizontal="center" vertical="top"/>
    </xf>
    <xf numFmtId="0" fontId="11" fillId="0" borderId="0" xfId="4" applyNumberFormat="1" applyFont="1" applyAlignment="1" applyProtection="1">
      <alignment vertical="top"/>
    </xf>
    <xf numFmtId="166" fontId="11" fillId="0" borderId="0" xfId="4" applyNumberFormat="1" applyFont="1" applyAlignment="1" applyProtection="1">
      <alignment vertical="top"/>
    </xf>
    <xf numFmtId="0" fontId="11" fillId="0" borderId="0" xfId="4" applyFont="1" applyAlignment="1" applyProtection="1">
      <alignment vertical="top"/>
    </xf>
    <xf numFmtId="0" fontId="11" fillId="0" borderId="0" xfId="4" applyFont="1" applyAlignment="1" applyProtection="1">
      <alignment vertical="top" wrapText="1"/>
    </xf>
    <xf numFmtId="0" fontId="11" fillId="0" borderId="0" xfId="4" applyNumberFormat="1" applyFont="1" applyFill="1" applyBorder="1" applyAlignment="1" applyProtection="1">
      <alignment horizontal="left" vertical="top"/>
    </xf>
    <xf numFmtId="49" fontId="8" fillId="0" borderId="0" xfId="4" applyNumberFormat="1" applyFill="1" applyBorder="1" applyProtection="1"/>
    <xf numFmtId="0" fontId="8" fillId="0" borderId="0" xfId="4" applyFill="1" applyBorder="1" applyProtection="1">
      <protection locked="0"/>
    </xf>
    <xf numFmtId="4" fontId="8" fillId="0" borderId="0" xfId="4" applyNumberFormat="1" applyFill="1" applyBorder="1" applyProtection="1">
      <protection locked="0"/>
    </xf>
    <xf numFmtId="0" fontId="11" fillId="0" borderId="0" xfId="4" applyFont="1" applyAlignment="1" applyProtection="1">
      <alignment horizontal="center" vertical="top"/>
    </xf>
    <xf numFmtId="0" fontId="11" fillId="0" borderId="0" xfId="4" applyNumberFormat="1" applyFont="1" applyFill="1" applyBorder="1" applyAlignment="1" applyProtection="1">
      <alignment horizontal="right" vertical="top"/>
    </xf>
    <xf numFmtId="0" fontId="20" fillId="0" borderId="3" xfId="0" applyFont="1" applyBorder="1"/>
    <xf numFmtId="0" fontId="0" fillId="4" borderId="0" xfId="0" applyFill="1" applyProtection="1">
      <protection locked="0"/>
    </xf>
    <xf numFmtId="0" fontId="0" fillId="4" borderId="0" xfId="0" applyFill="1" applyAlignment="1" applyProtection="1">
      <protection locked="0"/>
    </xf>
    <xf numFmtId="0" fontId="21" fillId="0" borderId="0" xfId="0" applyFont="1" applyAlignment="1">
      <alignment vertical="center"/>
    </xf>
    <xf numFmtId="0" fontId="21" fillId="0" borderId="0" xfId="0" applyFont="1" applyBorder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0" fontId="12" fillId="3" borderId="0" xfId="0" applyFont="1" applyFill="1" applyBorder="1" applyAlignment="1"/>
    <xf numFmtId="0" fontId="0" fillId="3" borderId="9" xfId="0" applyFill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Border="1" applyAlignment="1">
      <alignment horizontal="left" vertical="center"/>
    </xf>
    <xf numFmtId="0" fontId="22" fillId="3" borderId="0" xfId="0" applyFont="1" applyFill="1" applyProtection="1">
      <protection locked="0"/>
    </xf>
    <xf numFmtId="0" fontId="22" fillId="3" borderId="5" xfId="0" applyFont="1" applyFill="1" applyBorder="1" applyProtection="1">
      <protection locked="0"/>
    </xf>
    <xf numFmtId="0" fontId="22" fillId="3" borderId="5" xfId="0" applyFont="1" applyFill="1" applyBorder="1" applyAlignment="1" applyProtection="1">
      <alignment horizontal="right"/>
      <protection locked="0"/>
    </xf>
    <xf numFmtId="0" fontId="22" fillId="3" borderId="2" xfId="0" applyFont="1" applyFill="1" applyBorder="1" applyAlignment="1" applyProtection="1">
      <alignment horizontal="right"/>
      <protection locked="0"/>
    </xf>
    <xf numFmtId="0" fontId="22" fillId="3" borderId="0" xfId="0" applyFont="1" applyFill="1" applyBorder="1" applyAlignment="1" applyProtection="1">
      <alignment horizontal="right"/>
      <protection locked="0"/>
    </xf>
    <xf numFmtId="9" fontId="22" fillId="3" borderId="5" xfId="0" applyNumberFormat="1" applyFont="1" applyFill="1" applyBorder="1" applyProtection="1">
      <protection locked="0"/>
    </xf>
    <xf numFmtId="9" fontId="22" fillId="3" borderId="5" xfId="0" applyNumberFormat="1" applyFont="1" applyFill="1" applyBorder="1" applyAlignment="1" applyProtection="1">
      <alignment horizontal="right"/>
      <protection locked="0"/>
    </xf>
    <xf numFmtId="9" fontId="22" fillId="3" borderId="0" xfId="0" applyNumberFormat="1" applyFont="1" applyFill="1" applyBorder="1" applyAlignment="1" applyProtection="1">
      <alignment horizontal="right"/>
      <protection locked="0"/>
    </xf>
    <xf numFmtId="0" fontId="22" fillId="3" borderId="0" xfId="0" applyFont="1" applyFill="1" applyAlignment="1" applyProtection="1">
      <alignment horizontal="right"/>
      <protection locked="0"/>
    </xf>
    <xf numFmtId="164" fontId="11" fillId="0" borderId="0" xfId="4" applyNumberFormat="1" applyFont="1" applyFill="1" applyBorder="1" applyAlignment="1" applyProtection="1">
      <alignment vertical="top"/>
    </xf>
    <xf numFmtId="164" fontId="11" fillId="0" borderId="0" xfId="4" applyNumberFormat="1" applyFont="1" applyFill="1" applyBorder="1" applyAlignment="1" applyProtection="1">
      <alignment horizontal="right" vertical="top"/>
    </xf>
    <xf numFmtId="3" fontId="11" fillId="0" borderId="0" xfId="4" applyNumberFormat="1" applyFont="1" applyFill="1" applyBorder="1" applyAlignment="1" applyProtection="1">
      <alignment horizontal="right" vertical="top"/>
    </xf>
    <xf numFmtId="3" fontId="9" fillId="0" borderId="0" xfId="3" applyNumberFormat="1" applyFont="1" applyFill="1" applyBorder="1" applyAlignment="1" applyProtection="1">
      <alignment horizontal="center" vertical="top"/>
    </xf>
    <xf numFmtId="9" fontId="15" fillId="5" borderId="0" xfId="4" applyNumberFormat="1" applyFont="1" applyFill="1" applyBorder="1" applyAlignment="1" applyProtection="1">
      <alignment horizontal="center" vertical="top" wrapText="1"/>
      <protection locked="0"/>
    </xf>
    <xf numFmtId="0" fontId="11" fillId="0" borderId="0" xfId="4" applyFont="1" applyAlignment="1" applyProtection="1">
      <alignment horizontal="center" vertical="top"/>
      <protection locked="0"/>
    </xf>
    <xf numFmtId="9" fontId="9" fillId="7" borderId="0" xfId="3" applyFont="1" applyFill="1" applyBorder="1" applyAlignment="1" applyProtection="1">
      <alignment horizontal="center" vertical="top" wrapText="1"/>
      <protection locked="0"/>
    </xf>
    <xf numFmtId="9" fontId="9" fillId="2" borderId="0" xfId="3" applyFont="1" applyFill="1" applyBorder="1" applyAlignment="1" applyProtection="1">
      <alignment horizontal="center" vertical="top" wrapText="1"/>
      <protection locked="0"/>
    </xf>
    <xf numFmtId="0" fontId="24" fillId="0" borderId="0" xfId="0" applyFont="1"/>
    <xf numFmtId="0" fontId="5" fillId="4" borderId="0" xfId="0" applyFont="1" applyFill="1" applyAlignment="1">
      <alignment horizontal="left" vertical="center" indent="5"/>
    </xf>
    <xf numFmtId="0" fontId="0" fillId="4" borderId="0" xfId="0" applyFill="1" applyBorder="1" applyAlignment="1"/>
    <xf numFmtId="0" fontId="0" fillId="2" borderId="0" xfId="0" applyFill="1" applyAlignment="1"/>
    <xf numFmtId="0" fontId="5" fillId="2" borderId="0" xfId="0" applyFont="1" applyFill="1" applyAlignment="1">
      <alignment horizontal="left" vertical="center" indent="5"/>
    </xf>
    <xf numFmtId="0" fontId="4" fillId="2" borderId="0" xfId="2" applyFont="1" applyFill="1" applyAlignment="1" applyProtection="1">
      <protection locked="0"/>
    </xf>
    <xf numFmtId="166" fontId="11" fillId="0" borderId="0" xfId="4" applyNumberFormat="1" applyFont="1" applyAlignment="1" applyProtection="1">
      <alignment horizontal="right" vertical="top"/>
    </xf>
    <xf numFmtId="0" fontId="17" fillId="3" borderId="0" xfId="0" applyFont="1" applyFill="1" applyAlignment="1" applyProtection="1">
      <alignment horizontal="right"/>
      <protection locked="0"/>
    </xf>
    <xf numFmtId="0" fontId="16" fillId="0" borderId="8" xfId="0" applyFont="1" applyBorder="1" applyAlignment="1" applyProtection="1">
      <alignment horizontal="right"/>
      <protection locked="0"/>
    </xf>
    <xf numFmtId="9" fontId="9" fillId="0" borderId="0" xfId="4" applyNumberFormat="1" applyFont="1" applyAlignment="1" applyProtection="1">
      <alignment horizontal="center" vertical="top"/>
    </xf>
    <xf numFmtId="9" fontId="11" fillId="0" borderId="0" xfId="4" applyNumberFormat="1" applyFont="1" applyAlignment="1" applyProtection="1">
      <alignment horizontal="center" vertical="top"/>
    </xf>
    <xf numFmtId="9" fontId="19" fillId="6" borderId="0" xfId="4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16" fillId="0" borderId="8" xfId="0" applyNumberFormat="1" applyFont="1" applyBorder="1" applyAlignment="1" applyProtection="1">
      <protection locked="0"/>
    </xf>
    <xf numFmtId="9" fontId="9" fillId="0" borderId="0" xfId="3" applyNumberFormat="1" applyFont="1" applyFill="1" applyBorder="1" applyAlignment="1" applyProtection="1">
      <alignment horizontal="center" vertical="top" wrapText="1"/>
      <protection locked="0"/>
    </xf>
    <xf numFmtId="0" fontId="11" fillId="0" borderId="0" xfId="4" applyNumberFormat="1" applyFont="1" applyAlignment="1" applyProtection="1">
      <alignment horizontal="right" vertical="top"/>
    </xf>
    <xf numFmtId="0" fontId="19" fillId="6" borderId="0" xfId="4" applyNumberFormat="1" applyFont="1" applyFill="1" applyAlignment="1" applyProtection="1">
      <alignment horizontal="right" vertical="center"/>
      <protection locked="0"/>
    </xf>
    <xf numFmtId="0" fontId="17" fillId="3" borderId="0" xfId="0" applyNumberFormat="1" applyFont="1" applyFill="1" applyAlignment="1" applyProtection="1">
      <alignment horizontal="right"/>
      <protection locked="0"/>
    </xf>
    <xf numFmtId="0" fontId="16" fillId="0" borderId="8" xfId="0" applyNumberFormat="1" applyFont="1" applyBorder="1" applyAlignment="1" applyProtection="1">
      <alignment horizontal="right"/>
      <protection locked="0"/>
    </xf>
    <xf numFmtId="167" fontId="11" fillId="0" borderId="0" xfId="4" applyNumberFormat="1" applyFont="1" applyFill="1" applyBorder="1" applyAlignment="1" applyProtection="1">
      <alignment vertical="top" wrapText="1"/>
      <protection locked="0"/>
    </xf>
    <xf numFmtId="0" fontId="15" fillId="5" borderId="6" xfId="4" applyNumberFormat="1" applyFont="1" applyFill="1" applyBorder="1" applyAlignment="1" applyProtection="1">
      <alignment horizontal="center" vertical="top" wrapText="1"/>
      <protection locked="0"/>
    </xf>
    <xf numFmtId="0" fontId="9" fillId="0" borderId="0" xfId="4" applyNumberFormat="1" applyFont="1" applyAlignment="1" applyProtection="1">
      <alignment horizontal="right" vertical="top"/>
    </xf>
    <xf numFmtId="0" fontId="1" fillId="3" borderId="0" xfId="0" applyNumberFormat="1" applyFont="1" applyFill="1" applyAlignment="1" applyProtection="1">
      <alignment horizontal="right"/>
      <protection locked="0"/>
    </xf>
    <xf numFmtId="0" fontId="16" fillId="0" borderId="0" xfId="0" applyNumberFormat="1" applyFont="1" applyBorder="1" applyAlignment="1" applyProtection="1">
      <alignment horizontal="right"/>
      <protection locked="0"/>
    </xf>
    <xf numFmtId="0" fontId="19" fillId="6" borderId="0" xfId="4" applyFont="1" applyFill="1" applyAlignment="1" applyProtection="1">
      <alignment horizontal="left" vertical="center"/>
      <protection locked="0"/>
    </xf>
    <xf numFmtId="0" fontId="16" fillId="3" borderId="0" xfId="4" applyFont="1" applyFill="1" applyAlignment="1" applyProtection="1">
      <alignment horizontal="left" vertical="center"/>
      <protection locked="0"/>
    </xf>
    <xf numFmtId="0" fontId="16" fillId="3" borderId="0" xfId="4" applyFont="1" applyFill="1" applyAlignment="1" applyProtection="1">
      <alignment vertical="center"/>
      <protection locked="0"/>
    </xf>
    <xf numFmtId="0" fontId="18" fillId="3" borderId="0" xfId="4" applyNumberFormat="1" applyFont="1" applyFill="1" applyAlignment="1" applyProtection="1">
      <protection locked="0"/>
    </xf>
    <xf numFmtId="168" fontId="9" fillId="0" borderId="0" xfId="3" applyNumberFormat="1" applyFont="1" applyFill="1" applyBorder="1" applyAlignment="1" applyProtection="1">
      <alignment horizontal="right" vertical="top" wrapText="1"/>
      <protection locked="0"/>
    </xf>
    <xf numFmtId="14" fontId="8" fillId="0" borderId="0" xfId="4" applyNumberFormat="1" applyFill="1" applyBorder="1" applyProtection="1">
      <protection locked="0"/>
    </xf>
    <xf numFmtId="0" fontId="3" fillId="4" borderId="0" xfId="2" applyFill="1" applyBorder="1" applyAlignment="1">
      <alignment horizontal="center"/>
    </xf>
    <xf numFmtId="0" fontId="25" fillId="4" borderId="0" xfId="0" applyFont="1" applyFill="1" applyBorder="1" applyAlignment="1">
      <alignment horizontal="left" vertical="center"/>
    </xf>
    <xf numFmtId="0" fontId="26" fillId="4" borderId="0" xfId="0" applyFont="1" applyFill="1" applyBorder="1" applyAlignment="1"/>
    <xf numFmtId="49" fontId="0" fillId="0" borderId="0" xfId="0" applyNumberFormat="1"/>
    <xf numFmtId="169" fontId="0" fillId="0" borderId="0" xfId="0" applyNumberFormat="1"/>
    <xf numFmtId="0" fontId="0" fillId="0" borderId="0" xfId="0" applyNumberFormat="1"/>
    <xf numFmtId="0" fontId="0" fillId="0" borderId="0" xfId="0" applyFill="1"/>
    <xf numFmtId="169" fontId="0" fillId="0" borderId="0" xfId="0" applyNumberFormat="1" applyFill="1"/>
    <xf numFmtId="0" fontId="0" fillId="0" borderId="0" xfId="0" applyNumberFormat="1" applyFill="1"/>
    <xf numFmtId="0" fontId="29" fillId="0" borderId="0" xfId="0" applyFont="1"/>
    <xf numFmtId="0" fontId="0" fillId="8" borderId="0" xfId="0" applyFill="1"/>
    <xf numFmtId="0" fontId="0" fillId="9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0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6" borderId="0" xfId="0" applyFill="1"/>
    <xf numFmtId="0" fontId="0" fillId="22" borderId="0" xfId="0" applyFill="1"/>
    <xf numFmtId="0" fontId="0" fillId="11" borderId="0" xfId="0" applyFill="1"/>
    <xf numFmtId="0" fontId="0" fillId="23" borderId="0" xfId="0" applyFill="1"/>
    <xf numFmtId="0" fontId="0" fillId="24" borderId="0" xfId="0" applyFill="1"/>
    <xf numFmtId="0" fontId="0" fillId="5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27" fillId="10" borderId="0" xfId="0" applyFont="1" applyFill="1" applyAlignment="1"/>
    <xf numFmtId="0" fontId="30" fillId="10" borderId="0" xfId="0" applyFont="1" applyFill="1"/>
    <xf numFmtId="0" fontId="0" fillId="37" borderId="0" xfId="0" applyFill="1"/>
    <xf numFmtId="0" fontId="0" fillId="38" borderId="0" xfId="0" applyFill="1"/>
    <xf numFmtId="0" fontId="0" fillId="7" borderId="0" xfId="0" applyFill="1"/>
    <xf numFmtId="0" fontId="0" fillId="39" borderId="0" xfId="0" applyFill="1"/>
    <xf numFmtId="0" fontId="0" fillId="40" borderId="0" xfId="0" applyFill="1"/>
    <xf numFmtId="0" fontId="28" fillId="0" borderId="0" xfId="0" applyFont="1" applyAlignment="1">
      <alignment horizontal="left"/>
    </xf>
    <xf numFmtId="0" fontId="30" fillId="0" borderId="0" xfId="0" applyFont="1"/>
    <xf numFmtId="0" fontId="0" fillId="41" borderId="0" xfId="0" applyFill="1"/>
    <xf numFmtId="0" fontId="0" fillId="42" borderId="0" xfId="0" applyFill="1"/>
    <xf numFmtId="0" fontId="0" fillId="42" borderId="0" xfId="0" applyFill="1" applyProtection="1">
      <protection locked="0"/>
    </xf>
    <xf numFmtId="0" fontId="0" fillId="41" borderId="0" xfId="0" applyFill="1" applyProtection="1">
      <protection locked="0"/>
    </xf>
    <xf numFmtId="166" fontId="11" fillId="0" borderId="0" xfId="4" applyNumberFormat="1" applyFont="1" applyFill="1" applyBorder="1" applyAlignment="1" applyProtection="1">
      <alignment horizontal="right" vertical="top" wrapText="1"/>
      <protection locked="0"/>
    </xf>
    <xf numFmtId="166" fontId="0" fillId="0" borderId="0" xfId="0" applyNumberFormat="1" applyProtection="1">
      <protection locked="0"/>
    </xf>
    <xf numFmtId="0" fontId="8" fillId="0" borderId="10" xfId="4" applyFill="1" applyBorder="1" applyProtection="1"/>
    <xf numFmtId="0" fontId="16" fillId="3" borderId="10" xfId="4" applyFont="1" applyFill="1" applyBorder="1" applyAlignment="1" applyProtection="1">
      <alignment horizontal="left" vertical="center"/>
      <protection locked="0"/>
    </xf>
    <xf numFmtId="0" fontId="16" fillId="3" borderId="10" xfId="4" applyFont="1" applyFill="1" applyBorder="1" applyAlignment="1" applyProtection="1">
      <alignment vertical="center"/>
      <protection locked="0"/>
    </xf>
    <xf numFmtId="0" fontId="18" fillId="3" borderId="10" xfId="4" applyFont="1" applyFill="1" applyBorder="1" applyAlignment="1" applyProtection="1">
      <protection locked="0"/>
    </xf>
    <xf numFmtId="0" fontId="18" fillId="3" borderId="10" xfId="4" applyNumberFormat="1" applyFont="1" applyFill="1" applyBorder="1" applyAlignment="1" applyProtection="1">
      <protection locked="0"/>
    </xf>
    <xf numFmtId="0" fontId="17" fillId="3" borderId="10" xfId="0" applyFont="1" applyFill="1" applyBorder="1" applyProtection="1">
      <protection locked="0"/>
    </xf>
    <xf numFmtId="0" fontId="17" fillId="3" borderId="10" xfId="0" applyNumberFormat="1" applyFont="1" applyFill="1" applyBorder="1" applyProtection="1">
      <protection locked="0"/>
    </xf>
    <xf numFmtId="0" fontId="17" fillId="3" borderId="10" xfId="0" applyFont="1" applyFill="1" applyBorder="1" applyAlignment="1" applyProtection="1">
      <alignment horizontal="right"/>
      <protection locked="0"/>
    </xf>
    <xf numFmtId="0" fontId="17" fillId="3" borderId="10" xfId="0" applyNumberFormat="1" applyFont="1" applyFill="1" applyBorder="1" applyAlignment="1" applyProtection="1">
      <alignment horizontal="right"/>
      <protection locked="0"/>
    </xf>
    <xf numFmtId="9" fontId="1" fillId="3" borderId="10" xfId="0" applyNumberFormat="1" applyFont="1" applyFill="1" applyBorder="1" applyProtection="1">
      <protection locked="0"/>
    </xf>
    <xf numFmtId="0" fontId="1" fillId="3" borderId="10" xfId="0" applyNumberFormat="1" applyFont="1" applyFill="1" applyBorder="1" applyAlignment="1" applyProtection="1">
      <alignment horizontal="right"/>
      <protection locked="0"/>
    </xf>
    <xf numFmtId="0" fontId="1" fillId="3" borderId="10" xfId="0" applyFont="1" applyFill="1" applyBorder="1" applyProtection="1">
      <protection locked="0"/>
    </xf>
    <xf numFmtId="0" fontId="0" fillId="0" borderId="10" xfId="0" applyBorder="1"/>
    <xf numFmtId="0" fontId="18" fillId="0" borderId="10" xfId="0" applyFont="1" applyBorder="1" applyAlignment="1" applyProtection="1">
      <alignment horizontal="left"/>
    </xf>
    <xf numFmtId="0" fontId="16" fillId="0" borderId="10" xfId="0" applyFont="1" applyBorder="1" applyAlignment="1" applyProtection="1">
      <protection locked="0"/>
    </xf>
    <xf numFmtId="0" fontId="16" fillId="0" borderId="10" xfId="0" applyNumberFormat="1" applyFont="1" applyBorder="1" applyAlignment="1" applyProtection="1">
      <protection locked="0"/>
    </xf>
    <xf numFmtId="0" fontId="16" fillId="0" borderId="10" xfId="0" applyFont="1" applyBorder="1" applyAlignment="1" applyProtection="1">
      <alignment horizontal="right"/>
      <protection locked="0"/>
    </xf>
    <xf numFmtId="0" fontId="16" fillId="0" borderId="10" xfId="0" applyNumberFormat="1" applyFont="1" applyBorder="1" applyAlignment="1" applyProtection="1">
      <alignment horizontal="right"/>
      <protection locked="0"/>
    </xf>
    <xf numFmtId="9" fontId="16" fillId="0" borderId="10" xfId="0" applyNumberFormat="1" applyFont="1" applyBorder="1" applyAlignment="1" applyProtection="1">
      <protection locked="0"/>
    </xf>
    <xf numFmtId="0" fontId="8" fillId="0" borderId="10" xfId="4" applyFill="1" applyBorder="1" applyAlignment="1" applyProtection="1"/>
    <xf numFmtId="0" fontId="11" fillId="0" borderId="10" xfId="4" applyNumberFormat="1" applyFont="1" applyFill="1" applyBorder="1" applyAlignment="1" applyProtection="1">
      <alignment horizontal="left" vertical="top" wrapText="1"/>
      <protection locked="0"/>
    </xf>
    <xf numFmtId="0" fontId="11" fillId="0" borderId="10" xfId="4" applyFont="1" applyFill="1" applyBorder="1" applyAlignment="1" applyProtection="1">
      <alignment vertical="top" wrapText="1"/>
      <protection locked="0"/>
    </xf>
    <xf numFmtId="167" fontId="11" fillId="0" borderId="10" xfId="4" applyNumberFormat="1" applyFont="1" applyFill="1" applyBorder="1" applyAlignment="1" applyProtection="1">
      <alignment vertical="top" wrapText="1"/>
      <protection locked="0"/>
    </xf>
    <xf numFmtId="164" fontId="11" fillId="0" borderId="10" xfId="4" applyNumberFormat="1" applyFont="1" applyFill="1" applyBorder="1" applyAlignment="1" applyProtection="1">
      <alignment vertical="top" wrapText="1"/>
      <protection locked="0"/>
    </xf>
    <xf numFmtId="164" fontId="11" fillId="0" borderId="10" xfId="4" applyNumberFormat="1" applyFont="1" applyFill="1" applyBorder="1" applyAlignment="1" applyProtection="1">
      <alignment horizontal="right" vertical="top" wrapText="1"/>
      <protection locked="0"/>
    </xf>
    <xf numFmtId="3" fontId="11" fillId="0" borderId="10" xfId="4" applyNumberFormat="1" applyFont="1" applyFill="1" applyBorder="1" applyAlignment="1" applyProtection="1">
      <alignment horizontal="right" vertical="top" wrapText="1"/>
      <protection locked="0"/>
    </xf>
    <xf numFmtId="166" fontId="11" fillId="0" borderId="10" xfId="4" applyNumberFormat="1" applyFont="1" applyFill="1" applyBorder="1" applyAlignment="1" applyProtection="1">
      <alignment horizontal="right" vertical="top" wrapText="1"/>
      <protection locked="0"/>
    </xf>
    <xf numFmtId="9" fontId="9" fillId="0" borderId="10" xfId="3" applyNumberFormat="1" applyFont="1" applyFill="1" applyBorder="1" applyAlignment="1" applyProtection="1">
      <alignment horizontal="center" vertical="top" wrapText="1"/>
      <protection locked="0"/>
    </xf>
    <xf numFmtId="168" fontId="9" fillId="0" borderId="10" xfId="3" applyNumberFormat="1" applyFont="1" applyFill="1" applyBorder="1" applyAlignment="1" applyProtection="1">
      <alignment horizontal="right" vertical="top" wrapText="1"/>
      <protection locked="0"/>
    </xf>
    <xf numFmtId="9" fontId="9" fillId="0" borderId="10" xfId="3" applyFont="1" applyFill="1" applyBorder="1" applyAlignment="1" applyProtection="1">
      <alignment horizontal="center" vertical="top" wrapText="1"/>
      <protection locked="0"/>
    </xf>
    <xf numFmtId="0" fontId="0" fillId="42" borderId="10" xfId="0" applyFill="1" applyBorder="1" applyProtection="1">
      <protection locked="0"/>
    </xf>
    <xf numFmtId="0" fontId="0" fillId="41" borderId="10" xfId="0" applyFill="1" applyBorder="1" applyProtection="1">
      <protection locked="0"/>
    </xf>
    <xf numFmtId="9" fontId="9" fillId="2" borderId="10" xfId="3" applyFont="1" applyFill="1" applyBorder="1" applyAlignment="1" applyProtection="1">
      <alignment horizontal="center" vertical="top" wrapText="1"/>
      <protection locked="0"/>
    </xf>
    <xf numFmtId="0" fontId="19" fillId="43" borderId="0" xfId="4" applyFont="1" applyFill="1" applyAlignment="1" applyProtection="1">
      <alignment horizontal="left" vertical="center"/>
      <protection locked="0"/>
    </xf>
    <xf numFmtId="0" fontId="19" fillId="43" borderId="0" xfId="4" applyFont="1" applyFill="1" applyAlignment="1" applyProtection="1">
      <alignment vertical="center"/>
      <protection locked="0"/>
    </xf>
    <xf numFmtId="0" fontId="19" fillId="43" borderId="0" xfId="4" applyNumberFormat="1" applyFont="1" applyFill="1" applyAlignment="1" applyProtection="1">
      <alignment vertical="center"/>
      <protection locked="0"/>
    </xf>
    <xf numFmtId="0" fontId="19" fillId="43" borderId="0" xfId="4" applyFont="1" applyFill="1" applyAlignment="1" applyProtection="1">
      <alignment horizontal="right" vertical="center"/>
      <protection locked="0"/>
    </xf>
    <xf numFmtId="0" fontId="19" fillId="43" borderId="0" xfId="4" applyNumberFormat="1" applyFont="1" applyFill="1" applyAlignment="1" applyProtection="1">
      <alignment horizontal="right" vertical="center"/>
      <protection locked="0"/>
    </xf>
    <xf numFmtId="9" fontId="19" fillId="43" borderId="0" xfId="4" applyNumberFormat="1" applyFont="1" applyFill="1" applyAlignment="1" applyProtection="1">
      <alignment vertical="center"/>
      <protection locked="0"/>
    </xf>
    <xf numFmtId="0" fontId="15" fillId="44" borderId="11" xfId="4" applyFont="1" applyFill="1" applyBorder="1" applyAlignment="1" applyProtection="1">
      <alignment horizontal="left" vertical="top" wrapText="1"/>
    </xf>
    <xf numFmtId="0" fontId="15" fillId="44" borderId="11" xfId="4" applyFont="1" applyFill="1" applyBorder="1" applyAlignment="1" applyProtection="1">
      <alignment horizontal="left" vertical="top" wrapText="1"/>
      <protection locked="0"/>
    </xf>
    <xf numFmtId="0" fontId="15" fillId="44" borderId="11" xfId="4" applyFont="1" applyFill="1" applyBorder="1" applyAlignment="1" applyProtection="1">
      <alignment horizontal="center" vertical="top" wrapText="1"/>
      <protection locked="0"/>
    </xf>
    <xf numFmtId="0" fontId="15" fillId="44" borderId="11" xfId="4" applyNumberFormat="1" applyFont="1" applyFill="1" applyBorder="1" applyAlignment="1" applyProtection="1">
      <alignment horizontal="center" vertical="top" wrapText="1"/>
      <protection locked="0"/>
    </xf>
    <xf numFmtId="166" fontId="15" fillId="44" borderId="12" xfId="4" applyNumberFormat="1" applyFont="1" applyFill="1" applyBorder="1" applyAlignment="1" applyProtection="1">
      <alignment horizontal="center" vertical="top" wrapText="1"/>
      <protection locked="0"/>
    </xf>
    <xf numFmtId="0" fontId="15" fillId="44" borderId="12" xfId="4" applyNumberFormat="1" applyFont="1" applyFill="1" applyBorder="1" applyAlignment="1" applyProtection="1">
      <alignment horizontal="center" vertical="top" wrapText="1"/>
      <protection locked="0"/>
    </xf>
    <xf numFmtId="166" fontId="15" fillId="44" borderId="11" xfId="4" applyNumberFormat="1" applyFont="1" applyFill="1" applyBorder="1" applyAlignment="1" applyProtection="1">
      <alignment horizontal="center" vertical="top" wrapText="1"/>
      <protection locked="0"/>
    </xf>
    <xf numFmtId="9" fontId="15" fillId="44" borderId="11" xfId="4" applyNumberFormat="1" applyFont="1" applyFill="1" applyBorder="1" applyAlignment="1" applyProtection="1">
      <alignment horizontal="center" vertical="top" wrapText="1"/>
      <protection locked="0"/>
    </xf>
    <xf numFmtId="9" fontId="15" fillId="44" borderId="10" xfId="4" applyNumberFormat="1" applyFont="1" applyFill="1" applyBorder="1" applyAlignment="1" applyProtection="1">
      <alignment horizontal="center" vertical="top" wrapText="1"/>
      <protection locked="0"/>
    </xf>
    <xf numFmtId="0" fontId="32" fillId="0" borderId="0" xfId="0" applyFont="1"/>
    <xf numFmtId="0" fontId="16" fillId="0" borderId="13" xfId="0" applyFont="1" applyBorder="1" applyAlignment="1" applyProtection="1">
      <protection locked="0"/>
    </xf>
    <xf numFmtId="9" fontId="15" fillId="44" borderId="13" xfId="4" applyNumberFormat="1" applyFont="1" applyFill="1" applyBorder="1" applyAlignment="1" applyProtection="1">
      <alignment horizontal="center" vertical="top" wrapText="1"/>
      <protection locked="0"/>
    </xf>
    <xf numFmtId="0" fontId="33" fillId="8" borderId="10" xfId="0" applyFont="1" applyFill="1" applyBorder="1" applyAlignment="1">
      <alignment horizontal="left" vertical="center"/>
    </xf>
    <xf numFmtId="0" fontId="33" fillId="36" borderId="10" xfId="0" applyFont="1" applyFill="1" applyBorder="1" applyAlignment="1">
      <alignment horizontal="left" vertical="center"/>
    </xf>
    <xf numFmtId="0" fontId="33" fillId="46" borderId="14" xfId="0" applyFont="1" applyFill="1" applyBorder="1" applyAlignment="1">
      <alignment horizontal="center" vertical="center"/>
    </xf>
    <xf numFmtId="0" fontId="33" fillId="36" borderId="14" xfId="0" applyFont="1" applyFill="1" applyBorder="1" applyAlignment="1">
      <alignment horizontal="center" vertical="center"/>
    </xf>
    <xf numFmtId="0" fontId="33" fillId="45" borderId="14" xfId="0" applyFont="1" applyFill="1" applyBorder="1" applyAlignment="1">
      <alignment horizontal="center" vertical="center"/>
    </xf>
    <xf numFmtId="0" fontId="26" fillId="46" borderId="0" xfId="0" applyFont="1" applyFill="1" applyBorder="1" applyAlignment="1"/>
    <xf numFmtId="0" fontId="21" fillId="0" borderId="0" xfId="0" applyFont="1" applyAlignment="1">
      <alignment horizont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2" fillId="0" borderId="0" xfId="0" applyFont="1" applyAlignment="1">
      <alignment horizontal="center"/>
    </xf>
    <xf numFmtId="0" fontId="12" fillId="0" borderId="4" xfId="0" applyFont="1" applyBorder="1" applyAlignment="1">
      <alignment horizontal="center"/>
    </xf>
    <xf numFmtId="0" fontId="5" fillId="4" borderId="0" xfId="2" applyFont="1" applyFill="1" applyAlignment="1">
      <alignment horizontal="center" vertical="center"/>
    </xf>
    <xf numFmtId="0" fontId="3" fillId="0" borderId="0" xfId="2"/>
    <xf numFmtId="0" fontId="0" fillId="0" borderId="0" xfId="0"/>
    <xf numFmtId="14" fontId="31" fillId="43" borderId="0" xfId="0" applyNumberFormat="1" applyFont="1" applyFill="1"/>
    <xf numFmtId="14" fontId="0" fillId="0" borderId="0" xfId="0" applyNumberFormat="1"/>
    <xf numFmtId="9" fontId="9" fillId="13" borderId="10" xfId="3" applyFont="1" applyFill="1" applyBorder="1" applyAlignment="1" applyProtection="1">
      <alignment horizontal="center" vertical="top" wrapText="1"/>
      <protection locked="0"/>
    </xf>
  </cellXfs>
  <cellStyles count="201"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Heading 1" xfId="1" builtinId="16"/>
    <cellStyle name="Hyperlink" xfId="2" builtinId="8"/>
    <cellStyle name="Normal" xfId="0" builtinId="0"/>
    <cellStyle name="Normal 3" xfId="4"/>
    <cellStyle name="Percent 2" xfId="3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font>
        <color rgb="FF9C0006"/>
      </font>
    </dxf>
  </dxfs>
  <tableStyles count="0" defaultTableStyle="TableStyleMedium2" defaultPivotStyle="PivotStyleLight16"/>
  <colors>
    <mruColors>
      <color rgb="FF6DD9FF"/>
      <color rgb="FFA8E7FE"/>
      <color rgb="FFFFC000"/>
      <color rgb="FFA6F020"/>
      <color rgb="FFC1EFFF"/>
      <color rgb="FF89E0FF"/>
      <color rgb="FFB9EDFF"/>
      <color rgb="FFA7E8FF"/>
      <color rgb="FFABE9FF"/>
      <color rgb="FFE5FB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898"/>
          <c:y val="8.0715780972722501E-2"/>
          <c:w val="0.52704398208568004"/>
          <c:h val="0.6934786997778998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61" l="0.70000000000000095" r="0.70000000000000095" t="0.750000000000016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488E-2"/>
          <c:y val="0.168747777495555"/>
          <c:w val="0.80351473307215893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61" l="0.70000000000000095" r="0.70000000000000095" t="0.750000000000016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12879104"/>
        <c:axId val="112880640"/>
      </c:barChart>
      <c:catAx>
        <c:axId val="1128791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80640"/>
        <c:crosses val="autoZero"/>
        <c:auto val="1"/>
        <c:lblAlgn val="ctr"/>
        <c:lblOffset val="100"/>
        <c:noMultiLvlLbl val="0"/>
      </c:catAx>
      <c:valAx>
        <c:axId val="112880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12879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61" l="0.70000000000000095" r="0.70000000000000095" t="0.7500000000000161" header="0.30000000000000004" footer="0.30000000000000004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13300224"/>
        <c:axId val="113301760"/>
      </c:barChart>
      <c:catAx>
        <c:axId val="1133002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301760"/>
        <c:crosses val="autoZero"/>
        <c:auto val="1"/>
        <c:lblAlgn val="ctr"/>
        <c:lblOffset val="100"/>
        <c:noMultiLvlLbl val="0"/>
      </c:catAx>
      <c:valAx>
        <c:axId val="113301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133002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61" l="0.70000000000000095" r="0.70000000000000095" t="0.7500000000000161" header="0.30000000000000004" footer="0.30000000000000004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13496448"/>
        <c:axId val="113497984"/>
      </c:barChart>
      <c:catAx>
        <c:axId val="1134964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97984"/>
        <c:crosses val="autoZero"/>
        <c:auto val="1"/>
        <c:lblAlgn val="ctr"/>
        <c:lblOffset val="100"/>
        <c:noMultiLvlLbl val="0"/>
      </c:catAx>
      <c:valAx>
        <c:axId val="113497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134964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61" l="0.70000000000000095" r="0.70000000000000095" t="0.7500000000000161" header="0.30000000000000004" footer="0.30000000000000004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0.14814814814814903</c:v>
              </c:pt>
              <c:pt idx="1">
                <c:v>0.85185185185185408</c:v>
              </c:pt>
            </c:numLit>
          </c:val>
          <c:extLst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14284416"/>
        <c:axId val="114285952"/>
      </c:barChart>
      <c:catAx>
        <c:axId val="1142844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85952"/>
        <c:crosses val="autoZero"/>
        <c:auto val="1"/>
        <c:lblAlgn val="ctr"/>
        <c:lblOffset val="100"/>
        <c:noMultiLvlLbl val="0"/>
      </c:catAx>
      <c:valAx>
        <c:axId val="114285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14284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61" l="0.70000000000000095" r="0.70000000000000095" t="0.7500000000000161" header="0.30000000000000004" footer="0.30000000000000004"/>
    <c:pageSetup/>
  </c:printSettings>
  <c:extLst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www.ganttexcel.com/?utm_source=xlclogo&amp;utm_medium=none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#REF!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142875</xdr:colOff>
          <xdr:row>1</xdr:row>
          <xdr:rowOff>0</xdr:rowOff>
        </xdr:from>
        <xdr:to>
          <xdr:col>5</xdr:col>
          <xdr:colOff>676275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5</xdr:row>
          <xdr:rowOff>142875</xdr:rowOff>
        </xdr:from>
        <xdr:to>
          <xdr:col>13</xdr:col>
          <xdr:colOff>257175</xdr:colOff>
          <xdr:row>7</xdr:row>
          <xdr:rowOff>161925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23825"/>
          <a:ext cx="1285116" cy="600075"/>
        </a:xfrm>
        <a:prstGeom prst="rect">
          <a:avLst/>
        </a:prstGeom>
      </xdr:spPr>
    </xdr:pic>
    <xdr:clientData/>
  </xdr:oneCellAnchor>
  <xdr:twoCellAnchor editAs="oneCell">
    <xdr:from>
      <xdr:col>3</xdr:col>
      <xdr:colOff>0</xdr:colOff>
      <xdr:row>13</xdr:row>
      <xdr:rowOff>0</xdr:rowOff>
    </xdr:from>
    <xdr:to>
      <xdr:col>19</xdr:col>
      <xdr:colOff>352425</xdr:colOff>
      <xdr:row>18</xdr:row>
      <xdr:rowOff>128667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500" y="2152650"/>
          <a:ext cx="10058400" cy="10811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6350</xdr:colOff>
      <xdr:row>9</xdr:row>
      <xdr:rowOff>34004</xdr:rowOff>
    </xdr:from>
    <xdr:to>
      <xdr:col>34</xdr:col>
      <xdr:colOff>0</xdr:colOff>
      <xdr:row>9</xdr:row>
      <xdr:rowOff>166021</xdr:rowOff>
    </xdr:to>
    <xdr:sp macro="" textlink="">
      <xdr:nvSpPr>
        <xdr:cNvPr id="23" name="S_E_1"/>
        <xdr:cNvSpPr/>
      </xdr:nvSpPr>
      <xdr:spPr>
        <a:xfrm>
          <a:off x="8064500" y="1015079"/>
          <a:ext cx="355600" cy="132017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6350</xdr:colOff>
      <xdr:row>9</xdr:row>
      <xdr:rowOff>34004</xdr:rowOff>
    </xdr:from>
    <xdr:to>
      <xdr:col>34</xdr:col>
      <xdr:colOff>0</xdr:colOff>
      <xdr:row>9</xdr:row>
      <xdr:rowOff>166021</xdr:rowOff>
    </xdr:to>
    <xdr:sp macro="" textlink="">
      <xdr:nvSpPr>
        <xdr:cNvPr id="24" name="S_C_1"/>
        <xdr:cNvSpPr/>
      </xdr:nvSpPr>
      <xdr:spPr>
        <a:xfrm>
          <a:off x="8064500" y="1015079"/>
          <a:ext cx="355600" cy="132017"/>
        </a:xfrm>
        <a:prstGeom prst="rect">
          <a:avLst/>
        </a:prstGeom>
        <a:solidFill>
          <a:srgbClr val="6DD9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0</xdr:colOff>
      <xdr:row>9</xdr:row>
      <xdr:rowOff>0</xdr:rowOff>
    </xdr:from>
    <xdr:to>
      <xdr:col>39</xdr:col>
      <xdr:colOff>1270</xdr:colOff>
      <xdr:row>10</xdr:row>
      <xdr:rowOff>0</xdr:rowOff>
    </xdr:to>
    <xdr:sp macro="" textlink="">
      <xdr:nvSpPr>
        <xdr:cNvPr id="25" name="S_Today_LineLeft"/>
        <xdr:cNvSpPr/>
      </xdr:nvSpPr>
      <xdr:spPr>
        <a:xfrm>
          <a:off x="9324975" y="981075"/>
          <a:ext cx="1270" cy="200025"/>
        </a:xfrm>
        <a:prstGeom prst="rect">
          <a:avLst/>
        </a:prstGeom>
        <a:ln w="1270">
          <a:solidFill>
            <a:srgbClr val="D9D9D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0</xdr:colOff>
      <xdr:row>9</xdr:row>
      <xdr:rowOff>0</xdr:rowOff>
    </xdr:from>
    <xdr:to>
      <xdr:col>40</xdr:col>
      <xdr:colOff>1270</xdr:colOff>
      <xdr:row>10</xdr:row>
      <xdr:rowOff>0</xdr:rowOff>
    </xdr:to>
    <xdr:sp macro="" textlink="">
      <xdr:nvSpPr>
        <xdr:cNvPr id="26" name="S_Today_LineRight"/>
        <xdr:cNvSpPr/>
      </xdr:nvSpPr>
      <xdr:spPr>
        <a:xfrm>
          <a:off x="9505950" y="981075"/>
          <a:ext cx="1270" cy="200025"/>
        </a:xfrm>
        <a:prstGeom prst="rect">
          <a:avLst/>
        </a:prstGeom>
        <a:ln w="1270">
          <a:solidFill>
            <a:srgbClr val="D9D9D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5</xdr:row>
          <xdr:rowOff>142875</xdr:rowOff>
        </xdr:from>
        <xdr:to>
          <xdr:col>13</xdr:col>
          <xdr:colOff>257175</xdr:colOff>
          <xdr:row>7</xdr:row>
          <xdr:rowOff>161925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4d" refreshedDate="43469.404494907409" missingItemsLimit="0" createdVersion="5" refreshedVersion="6" minRefreshableVersion="3" recordCount="1">
  <cacheSource type="worksheet">
    <worksheetSource name="tblDataDump"/>
  </cacheSource>
  <cacheFields count="29">
    <cacheField name="tType" numFmtId="0">
      <sharedItems count="1">
        <s v="MP"/>
      </sharedItems>
    </cacheField>
    <cacheField name="WBS" numFmtId="49">
      <sharedItems/>
    </cacheField>
    <cacheField name="Task" numFmtId="0">
      <sharedItems count="1">
        <s v="Lead Generation"/>
      </sharedItems>
    </cacheField>
    <cacheField name="TaskLead" numFmtId="0">
      <sharedItems containsNonDate="0" containsString="0" containsBlank="1" count="1">
        <m/>
      </sharedItems>
    </cacheField>
    <cacheField name="TaskLeadCost" numFmtId="165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vtParentECS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J4:BK5" firstHeaderRow="1" firstDataRow="1" firstDataCol="1" rowPageCount="1" colPageCount="1"/>
  <pivotFields count="29">
    <pivotField axis="axisPage" showAll="0" defaultSubtotal="0">
      <items count="1">
        <item x="0"/>
      </items>
    </pivotField>
    <pivotField showAll="0" defaultSubtotal="0"/>
    <pivotField axis="axisRow" showAll="0" measureFilter="1" sortType="a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Sum of ECS" fld="16" baseField="2" baseItem="0" numFmtId="3"/>
  </dataFields>
  <formats count="1">
    <format dxfId="32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vtParent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N4:BO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0" numFmtId="9"/>
  </dataFields>
  <formats count="1">
    <format dxfId="33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vtResource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Q4:BR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0" numFmtId="9"/>
  </dataFields>
  <formats count="1">
    <format dxfId="34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vtResourceDur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T4:BU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35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blDataDump" displayName="tblDataDump" ref="AD2:BF3" totalsRowShown="0" headerRowDxfId="31" dataDxfId="30" tableBorderDxfId="29" headerRowCellStyle="Normal 3" dataCellStyle="Percent 2">
  <autoFilter ref="AD2:BF3"/>
  <tableColumns count="29">
    <tableColumn id="1" name="tType" dataDxfId="28"/>
    <tableColumn id="2" name="WBS" dataDxfId="27" dataCellStyle="Normal 3"/>
    <tableColumn id="3" name="Task" dataDxfId="26" dataCellStyle="Normal 3"/>
    <tableColumn id="4" name="TaskLead" dataDxfId="25" dataCellStyle="Normal 3"/>
    <tableColumn id="18" name="TaskLeadCost" dataDxfId="24" dataCellStyle="Normal 3"/>
    <tableColumn id="5" name="BSD" dataDxfId="23" dataCellStyle="Normal 3"/>
    <tableColumn id="6" name="BED" dataDxfId="22" dataCellStyle="Normal 3"/>
    <tableColumn id="7" name="BD" dataDxfId="21" dataCellStyle="Normal 3"/>
    <tableColumn id="8" name="ESD" dataDxfId="20" dataCellStyle="Normal 3"/>
    <tableColumn id="9" name="EED" dataDxfId="19" dataCellStyle="Normal 3"/>
    <tableColumn id="10" name="ED" dataDxfId="18" dataCellStyle="Normal 3"/>
    <tableColumn id="11" name="PercentageCompleted" dataDxfId="17" dataCellStyle="Normal 3"/>
    <tableColumn id="12" name="ASD" dataDxfId="16" dataCellStyle="Normal 3"/>
    <tableColumn id="13" name="AED" dataDxfId="15" dataCellStyle="Normal 3"/>
    <tableColumn id="14" name="AD" dataDxfId="14" dataCellStyle="Percent 2"/>
    <tableColumn id="15" name="BCS" dataDxfId="13" dataCellStyle="Percent 2"/>
    <tableColumn id="16" name="ECS" dataDxfId="12" dataCellStyle="Percent 2"/>
    <tableColumn id="17" name="ACS" dataDxfId="11" dataCellStyle="Percent 2"/>
    <tableColumn id="19" name="Notes" dataDxfId="10" dataCellStyle="Percent 2"/>
    <tableColumn id="20" name="CC1" dataDxfId="9" dataCellStyle="Percent 2"/>
    <tableColumn id="21" name="CC2" dataDxfId="8" dataCellStyle="Percent 2"/>
    <tableColumn id="22" name="CC3" dataDxfId="7" dataCellStyle="Percent 2"/>
    <tableColumn id="23" name="CC4" dataDxfId="6" dataCellStyle="Percent 2"/>
    <tableColumn id="24" name="CC5" dataDxfId="5" dataCellStyle="Percent 2"/>
    <tableColumn id="25" name="CC6" dataDxfId="4" dataCellStyle="Percent 2"/>
    <tableColumn id="26" name="CC7" dataDxfId="3" dataCellStyle="Percent 2"/>
    <tableColumn id="27" name="CC8" dataDxfId="2" dataCellStyle="Percent 2"/>
    <tableColumn id="28" name="CC9" dataDxfId="1" dataCellStyle="Percent 2"/>
    <tableColumn id="29" name="CC10" dataDxfId="0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anttexcel.com/documentation/?utm_source=xlcd&amp;utm_medium=9713689754235477973946461994864013771059744140" TargetMode="External"/><Relationship Id="rId2" Type="http://schemas.openxmlformats.org/officeDocument/2006/relationships/hyperlink" Target="https://www.ganttexcel.com/documentation/enable-macros/?utm_source=xlcem&amp;utm_medium=9713689754235477973946461994864013771059744140" TargetMode="External"/><Relationship Id="rId1" Type="http://schemas.openxmlformats.org/officeDocument/2006/relationships/hyperlink" Target="https://ganttxl.com/documentation/gantt-excel-quick-start-guide/?utm_source=xl&amp;utm_medium=cpc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89"/>
  <sheetViews>
    <sheetView showGridLines="0" showRowColHeaders="0" workbookViewId="0">
      <pane ySplit="2" topLeftCell="A3" activePane="bottomLeft" state="frozen"/>
      <selection pane="bottomLeft" activeCell="G19" sqref="G19"/>
    </sheetView>
  </sheetViews>
  <sheetFormatPr defaultColWidth="0" defaultRowHeight="15" x14ac:dyDescent="0.25"/>
  <cols>
    <col min="1" max="1" width="0.85546875" customWidth="1"/>
    <col min="2" max="2" width="63" customWidth="1"/>
    <col min="3" max="3" width="10" customWidth="1"/>
    <col min="4" max="4" width="23.85546875" bestFit="1" customWidth="1"/>
    <col min="5" max="5" width="21.28515625" customWidth="1"/>
    <col min="6" max="6" width="13.28515625" customWidth="1"/>
    <col min="7" max="7" width="2.7109375" style="49" customWidth="1"/>
    <col min="8" max="8" width="0.140625" hidden="1" customWidth="1"/>
    <col min="9" max="21" width="0.140625" style="7" hidden="1" customWidth="1"/>
    <col min="22" max="27" width="3.7109375" style="7" hidden="1" customWidth="1"/>
    <col min="28" max="29" width="0.140625" style="7" hidden="1" customWidth="1"/>
    <col min="30" max="40" width="16" style="8" hidden="1" customWidth="1"/>
    <col min="41" max="41" width="16" style="10" hidden="1" customWidth="1"/>
    <col min="42" max="48" width="16" style="8" hidden="1" customWidth="1"/>
    <col min="49" max="58" width="16" style="9" hidden="1" customWidth="1"/>
    <col min="59" max="60" width="0.140625" style="8" hidden="1" customWidth="1"/>
    <col min="61" max="16384" width="0.140625" style="7" hidden="1"/>
  </cols>
  <sheetData>
    <row r="1" spans="1:77" ht="6" customHeight="1" x14ac:dyDescent="0.25">
      <c r="A1" s="49"/>
      <c r="F1" s="49"/>
      <c r="H1" s="49"/>
      <c r="Y1" s="12"/>
      <c r="Z1" s="12"/>
      <c r="AA1" s="12"/>
      <c r="AB1" s="12"/>
      <c r="AC1" s="12"/>
    </row>
    <row r="2" spans="1:77" ht="20.25" thickBot="1" x14ac:dyDescent="0.3">
      <c r="A2" s="2"/>
      <c r="B2" s="262" t="s">
        <v>52</v>
      </c>
      <c r="C2" s="262"/>
      <c r="D2" s="263"/>
      <c r="E2" s="263"/>
      <c r="F2" s="48"/>
      <c r="G2" s="47"/>
      <c r="V2" s="101" t="s">
        <v>51</v>
      </c>
      <c r="W2" s="101" t="s">
        <v>50</v>
      </c>
      <c r="X2" s="102" t="s">
        <v>20</v>
      </c>
      <c r="Y2" s="103"/>
      <c r="Z2" s="104" t="s">
        <v>49</v>
      </c>
      <c r="AA2" s="105"/>
      <c r="AB2" s="46"/>
      <c r="AC2" s="46"/>
      <c r="AD2" s="45" t="s">
        <v>21</v>
      </c>
      <c r="AE2" s="44" t="s">
        <v>48</v>
      </c>
      <c r="AF2" s="42" t="s">
        <v>47</v>
      </c>
      <c r="AG2" s="42" t="s">
        <v>46</v>
      </c>
      <c r="AH2" s="42" t="s">
        <v>45</v>
      </c>
      <c r="AI2" s="42" t="s">
        <v>44</v>
      </c>
      <c r="AJ2" s="43" t="s">
        <v>43</v>
      </c>
      <c r="AK2" s="42" t="s">
        <v>42</v>
      </c>
      <c r="AL2" s="43" t="s">
        <v>41</v>
      </c>
      <c r="AM2" s="43" t="s">
        <v>39</v>
      </c>
      <c r="AN2" s="42" t="s">
        <v>37</v>
      </c>
      <c r="AO2" s="42" t="s">
        <v>36</v>
      </c>
      <c r="AP2" s="43" t="s">
        <v>40</v>
      </c>
      <c r="AQ2" s="43" t="s">
        <v>38</v>
      </c>
      <c r="AR2" s="41" t="s">
        <v>35</v>
      </c>
      <c r="AS2" s="41" t="s">
        <v>34</v>
      </c>
      <c r="AT2" s="41" t="s">
        <v>33</v>
      </c>
      <c r="AU2" s="41" t="s">
        <v>32</v>
      </c>
      <c r="AV2" s="40" t="s">
        <v>31</v>
      </c>
      <c r="AW2" s="40" t="s">
        <v>153</v>
      </c>
      <c r="AX2" s="39" t="s">
        <v>30</v>
      </c>
      <c r="AY2" s="39" t="s">
        <v>29</v>
      </c>
      <c r="AZ2" s="39" t="s">
        <v>28</v>
      </c>
      <c r="BA2" s="39" t="s">
        <v>27</v>
      </c>
      <c r="BB2" s="39" t="s">
        <v>26</v>
      </c>
      <c r="BC2" s="39" t="s">
        <v>25</v>
      </c>
      <c r="BD2" s="39" t="s">
        <v>24</v>
      </c>
      <c r="BE2" s="39" t="s">
        <v>23</v>
      </c>
      <c r="BF2" s="39" t="s">
        <v>22</v>
      </c>
      <c r="BG2" s="38"/>
      <c r="BH2" s="38"/>
      <c r="BI2" s="38"/>
      <c r="BJ2" s="28" t="s">
        <v>21</v>
      </c>
      <c r="BK2" s="7" t="s">
        <v>143</v>
      </c>
      <c r="BN2" s="28" t="s">
        <v>21</v>
      </c>
      <c r="BO2" s="7" t="s">
        <v>143</v>
      </c>
      <c r="BQ2" s="28" t="s">
        <v>21</v>
      </c>
      <c r="BR2" s="7" t="s">
        <v>143</v>
      </c>
      <c r="BT2" s="28" t="s">
        <v>21</v>
      </c>
      <c r="BU2" s="7" t="s">
        <v>143</v>
      </c>
      <c r="BW2"/>
      <c r="BX2"/>
      <c r="BY2"/>
    </row>
    <row r="3" spans="1:77" ht="24" customHeight="1" thickTop="1" x14ac:dyDescent="0.25">
      <c r="A3" s="2"/>
      <c r="B3" s="98" t="s">
        <v>20</v>
      </c>
      <c r="C3" s="93"/>
      <c r="D3" s="99" t="s">
        <v>19</v>
      </c>
      <c r="G3" s="2"/>
      <c r="V3" s="101" t="s">
        <v>134</v>
      </c>
      <c r="W3" s="101" t="s">
        <v>134</v>
      </c>
      <c r="X3" s="106">
        <f>IFERROR((SUMIFS(#REF!,#REF!,"T")+SUMIFS(#REF!,#REF!,"C"))/(COUNTIFS(#REF!,"T")+COUNTIFS(#REF!,"C")),0)</f>
        <v>0</v>
      </c>
      <c r="Y3" s="107">
        <f>100%-X3</f>
        <v>1</v>
      </c>
      <c r="Z3" s="104"/>
      <c r="AA3" s="105"/>
      <c r="AB3" s="11"/>
      <c r="AC3" s="11"/>
      <c r="AD3" s="37" t="s">
        <v>141</v>
      </c>
      <c r="AE3" s="36" t="s">
        <v>138</v>
      </c>
      <c r="AF3" s="35" t="s">
        <v>139</v>
      </c>
      <c r="AG3" s="35"/>
      <c r="AH3" s="34"/>
      <c r="AI3" s="110"/>
      <c r="AJ3" s="111"/>
      <c r="AK3" s="112"/>
      <c r="AL3" s="111">
        <v>42614</v>
      </c>
      <c r="AM3" s="111">
        <v>42643</v>
      </c>
      <c r="AN3" s="112">
        <v>22</v>
      </c>
      <c r="AO3" s="33">
        <v>0</v>
      </c>
      <c r="AP3" s="111"/>
      <c r="AQ3" s="111"/>
      <c r="AR3" s="113"/>
      <c r="AS3" s="31">
        <v>0</v>
      </c>
      <c r="AT3" s="31">
        <v>0</v>
      </c>
      <c r="AU3" s="31"/>
      <c r="AV3" s="19"/>
      <c r="AW3" s="32"/>
      <c r="AX3" s="32"/>
      <c r="AY3" s="32"/>
      <c r="AZ3" s="32"/>
      <c r="BA3" s="32"/>
      <c r="BB3" s="32"/>
      <c r="BC3" s="32"/>
      <c r="BD3" s="32"/>
      <c r="BE3" s="32"/>
      <c r="BF3" s="32"/>
      <c r="BG3" s="31"/>
      <c r="BH3" s="31"/>
      <c r="BI3" s="19"/>
      <c r="BJ3" s="30"/>
      <c r="BK3" s="29"/>
      <c r="BL3" s="29"/>
      <c r="BN3" s="30"/>
      <c r="BO3" s="29"/>
      <c r="BQ3" s="30"/>
      <c r="BR3" s="29"/>
      <c r="BT3" s="30"/>
      <c r="BU3" s="29"/>
      <c r="BW3"/>
      <c r="BX3"/>
      <c r="BY3"/>
    </row>
    <row r="4" spans="1:77" x14ac:dyDescent="0.25">
      <c r="A4" s="2"/>
      <c r="D4" s="90" t="s">
        <v>18</v>
      </c>
      <c r="E4" s="27" t="str">
        <f>IF(X3=0,"Planned",IF(X3=1,"Completed","In-Progress"))</f>
        <v>Planned</v>
      </c>
      <c r="F4" s="26"/>
      <c r="G4" s="2"/>
      <c r="V4" s="101"/>
      <c r="W4" s="101"/>
      <c r="X4" s="102"/>
      <c r="Y4" s="103"/>
      <c r="Z4" s="104"/>
      <c r="AA4" s="105"/>
      <c r="AB4" s="11"/>
      <c r="AC4" s="11"/>
      <c r="BI4" s="19"/>
      <c r="BJ4" s="28" t="s">
        <v>15</v>
      </c>
      <c r="BK4" s="7" t="s">
        <v>17</v>
      </c>
      <c r="BN4" s="28" t="s">
        <v>15</v>
      </c>
      <c r="BO4" s="7" t="s">
        <v>16</v>
      </c>
      <c r="BQ4" s="28" t="s">
        <v>15</v>
      </c>
      <c r="BR4" s="7" t="s">
        <v>16</v>
      </c>
      <c r="BT4" s="28" t="s">
        <v>15</v>
      </c>
      <c r="BU4" s="7" t="s">
        <v>14</v>
      </c>
      <c r="BW4"/>
      <c r="BX4"/>
      <c r="BY4"/>
    </row>
    <row r="5" spans="1:77" x14ac:dyDescent="0.25">
      <c r="A5" s="2"/>
      <c r="D5" s="15" t="s">
        <v>13</v>
      </c>
      <c r="E5" s="27"/>
      <c r="F5" s="26"/>
      <c r="G5" s="2"/>
      <c r="V5" s="101"/>
      <c r="W5" s="101"/>
      <c r="X5" s="102" t="s">
        <v>12</v>
      </c>
      <c r="Y5" s="103" t="s">
        <v>11</v>
      </c>
      <c r="Z5" s="104"/>
      <c r="AA5" s="105"/>
      <c r="AB5" s="11"/>
      <c r="AC5" s="11"/>
      <c r="BI5" s="19"/>
      <c r="BJ5" s="21" t="s">
        <v>139</v>
      </c>
      <c r="BK5" s="23">
        <v>0</v>
      </c>
      <c r="BL5" s="22"/>
      <c r="BN5" s="21" t="s">
        <v>139</v>
      </c>
      <c r="BO5" s="20">
        <v>0</v>
      </c>
      <c r="BQ5" s="21" t="s">
        <v>135</v>
      </c>
      <c r="BR5" s="20">
        <v>0</v>
      </c>
      <c r="BT5" s="21" t="s">
        <v>135</v>
      </c>
      <c r="BU5" s="20">
        <v>1</v>
      </c>
      <c r="BW5"/>
      <c r="BX5"/>
      <c r="BY5"/>
    </row>
    <row r="6" spans="1:77" x14ac:dyDescent="0.25">
      <c r="A6" s="2"/>
      <c r="D6" s="15" t="s">
        <v>10</v>
      </c>
      <c r="E6" s="25" t="e">
        <f>MIN(#REF!)</f>
        <v>#REF!</v>
      </c>
      <c r="F6" s="24"/>
      <c r="G6" s="2"/>
      <c r="V6" s="101"/>
      <c r="W6" s="101"/>
      <c r="X6" s="102" t="s">
        <v>9</v>
      </c>
      <c r="Y6" s="103" t="s">
        <v>140</v>
      </c>
      <c r="Z6" s="104" t="str">
        <f>$Y$5&amp;" "&amp;TEXT(Y6,"#,##0")</f>
        <v>$ 31,726</v>
      </c>
      <c r="AA6" s="105"/>
      <c r="AB6" s="11"/>
      <c r="AC6" s="11"/>
      <c r="BI6" s="19"/>
      <c r="BJ6"/>
      <c r="BK6"/>
      <c r="BL6" s="22"/>
      <c r="BN6"/>
      <c r="BO6"/>
      <c r="BQ6"/>
      <c r="BR6"/>
      <c r="BT6"/>
      <c r="BU6"/>
      <c r="BW6"/>
      <c r="BX6"/>
      <c r="BY6"/>
    </row>
    <row r="7" spans="1:77" x14ac:dyDescent="0.25">
      <c r="A7" s="2"/>
      <c r="D7" s="15" t="s">
        <v>8</v>
      </c>
      <c r="E7" s="25" t="e">
        <f>MAX(#REF!)</f>
        <v>#REF!</v>
      </c>
      <c r="F7" s="24"/>
      <c r="G7" s="2"/>
      <c r="V7" s="101"/>
      <c r="W7" s="101"/>
      <c r="X7" s="102" t="s">
        <v>7</v>
      </c>
      <c r="Y7" s="103" t="s">
        <v>137</v>
      </c>
      <c r="Z7" s="104" t="str">
        <f>$Y$5&amp;" "&amp;TEXT(Y7,"#,##0")</f>
        <v>$ 0</v>
      </c>
      <c r="AA7" s="105"/>
      <c r="AB7" s="11"/>
      <c r="AC7" s="11"/>
      <c r="BI7" s="19"/>
      <c r="BJ7"/>
      <c r="BK7"/>
      <c r="BL7" s="22"/>
      <c r="BN7"/>
      <c r="BO7"/>
      <c r="BQ7"/>
      <c r="BR7"/>
      <c r="BT7"/>
      <c r="BU7"/>
      <c r="BW7"/>
      <c r="BX7"/>
      <c r="BY7"/>
    </row>
    <row r="8" spans="1:77" x14ac:dyDescent="0.25">
      <c r="A8" s="2"/>
      <c r="D8" s="90" t="s">
        <v>6</v>
      </c>
      <c r="E8" s="17" t="e">
        <f>COUNTIFS(#REF!,"T")+COUNTIFS(#REF!,"C")</f>
        <v>#REF!</v>
      </c>
      <c r="F8" s="16"/>
      <c r="G8" s="2"/>
      <c r="V8" s="101"/>
      <c r="W8" s="101"/>
      <c r="X8" s="102" t="s">
        <v>5</v>
      </c>
      <c r="Y8" s="103" t="e">
        <f>SUMIFS(#REF!,#REF!,"T")+SUMIFS(#REF!,#REF!,"MP")</f>
        <v>#REF!</v>
      </c>
      <c r="Z8" s="103" t="e">
        <f>Y5&amp;" "&amp;TEXT(Y8,"#,##0")&amp;" spent"</f>
        <v>#REF!</v>
      </c>
      <c r="AA8" s="105"/>
      <c r="AB8" s="11"/>
      <c r="AC8" s="11"/>
      <c r="BI8" s="19"/>
      <c r="BJ8"/>
      <c r="BK8"/>
      <c r="BN8"/>
      <c r="BO8"/>
      <c r="BQ8"/>
      <c r="BR8"/>
      <c r="BT8"/>
      <c r="BU8"/>
      <c r="BW8"/>
      <c r="BX8"/>
      <c r="BY8"/>
    </row>
    <row r="9" spans="1:77" x14ac:dyDescent="0.25">
      <c r="A9" s="2"/>
      <c r="B9" s="264"/>
      <c r="C9" s="265"/>
      <c r="D9" s="15" t="s">
        <v>125</v>
      </c>
      <c r="E9" s="17" t="e">
        <f>COUNTIFS(#REF!,"T",#REF!,1)+COUNTIFS(#REF!,"C",#REF!,1)</f>
        <v>#REF!</v>
      </c>
      <c r="F9" s="16"/>
      <c r="G9" s="2"/>
      <c r="V9" s="101"/>
      <c r="W9" s="101"/>
      <c r="X9" s="102" t="s">
        <v>4</v>
      </c>
      <c r="Y9" s="107">
        <f>IFERROR(Y8/Y6,0)</f>
        <v>0</v>
      </c>
      <c r="Z9" s="107">
        <f>1-Y9</f>
        <v>1</v>
      </c>
      <c r="AA9" s="108"/>
      <c r="AB9" s="18"/>
      <c r="AC9" s="18"/>
      <c r="BJ9"/>
      <c r="BK9"/>
      <c r="BN9"/>
      <c r="BO9"/>
      <c r="BQ9"/>
      <c r="BR9"/>
      <c r="BT9"/>
      <c r="BU9"/>
      <c r="BW9"/>
      <c r="BX9"/>
      <c r="BY9"/>
    </row>
    <row r="10" spans="1:77" x14ac:dyDescent="0.25">
      <c r="A10" s="2"/>
      <c r="D10" s="15" t="s">
        <v>126</v>
      </c>
      <c r="E10" s="17" t="e">
        <f ca="1">COUNTIFS(#REF!,"T",#REF!,"&lt;"&amp;1,#REF!,"&gt;"&amp;0,#REF!,"&gt;="&amp;TODAY())+COUNTIFS(#REF!,"C",#REF!,"&lt;"&amp;1,#REF!,"&gt;"&amp;0,#REF!,"&gt;="&amp;TODAY())</f>
        <v>#REF!</v>
      </c>
      <c r="F10" s="16"/>
      <c r="G10" s="2"/>
      <c r="V10" s="101"/>
      <c r="W10" s="101"/>
      <c r="X10" s="101"/>
      <c r="Y10" s="109"/>
      <c r="Z10" s="109"/>
      <c r="AA10" s="109"/>
      <c r="AB10" s="12"/>
      <c r="AC10" s="12"/>
      <c r="BJ10"/>
      <c r="BK10"/>
      <c r="BN10"/>
      <c r="BO10"/>
      <c r="BQ10"/>
      <c r="BR10"/>
      <c r="BT10"/>
      <c r="BU10"/>
    </row>
    <row r="11" spans="1:77" x14ac:dyDescent="0.25">
      <c r="A11" s="2"/>
      <c r="D11" s="15" t="s">
        <v>127</v>
      </c>
      <c r="E11" s="17" t="e">
        <f ca="1">COUNTIFS(#REF!,"T",#REF!,0,#REF!,"&gt;="&amp;TODAY())+COUNTIFS(#REF!,"C",#REF!,0,#REF!,"&gt;="&amp;TODAY())</f>
        <v>#REF!</v>
      </c>
      <c r="F11" s="16"/>
      <c r="G11" s="2"/>
      <c r="V11" s="101"/>
      <c r="W11" s="101"/>
      <c r="X11" s="101" t="s">
        <v>133</v>
      </c>
      <c r="Y11" s="109" t="e">
        <f>SUMIFS(#REF!,#REF!,"T")+SUMIFS(#REF!,#REF!,"MP")</f>
        <v>#REF!</v>
      </c>
      <c r="Z11" s="104" t="e">
        <f>$Y$5&amp;" "&amp;TEXT(Y11,"#,##0")</f>
        <v>#REF!</v>
      </c>
      <c r="AA11" s="105"/>
      <c r="AB11" s="11"/>
      <c r="AC11" s="11"/>
      <c r="BJ11"/>
      <c r="BK11"/>
      <c r="BN11"/>
      <c r="BO11"/>
      <c r="BQ11"/>
      <c r="BR11"/>
      <c r="BT11"/>
      <c r="BU11"/>
    </row>
    <row r="12" spans="1:77" x14ac:dyDescent="0.25">
      <c r="A12" s="2"/>
      <c r="D12" s="15" t="s">
        <v>128</v>
      </c>
      <c r="E12" s="14" t="e">
        <f ca="1">COUNTIFS(#REF!,"T",#REF!,"&lt;&gt;"&amp;1,#REF!,"&lt;"&amp;TODAY())+COUNTIFS(#REF!,"C",#REF!,"&lt;&gt;"&amp;1,#REF!,"&lt;"&amp;TODAY())</f>
        <v>#REF!</v>
      </c>
      <c r="F12" s="13"/>
      <c r="G12" s="2"/>
      <c r="V12" s="101"/>
      <c r="W12" s="101"/>
      <c r="X12" s="101" t="s">
        <v>132</v>
      </c>
      <c r="Y12" s="109" t="e">
        <f>SUMIFS(#REF!,#REF!,"T")+SUMIFS(#REF!,#REF!,"MP")</f>
        <v>#REF!</v>
      </c>
      <c r="Z12" s="104" t="e">
        <f>$Y$5&amp;" "&amp;TEXT(Y12,"#,##0")</f>
        <v>#REF!</v>
      </c>
      <c r="AA12" s="105"/>
      <c r="AB12" s="11"/>
      <c r="AC12" s="11"/>
      <c r="BJ12"/>
      <c r="BK12"/>
      <c r="BN12"/>
      <c r="BO12"/>
      <c r="BQ12"/>
      <c r="BR12"/>
      <c r="BT12"/>
      <c r="BU12"/>
    </row>
    <row r="13" spans="1:77" ht="5.25" customHeight="1" x14ac:dyDescent="0.25">
      <c r="A13" s="2"/>
      <c r="B13" s="95"/>
      <c r="C13" s="96"/>
      <c r="D13" s="97"/>
      <c r="E13" s="2"/>
      <c r="F13" s="2"/>
      <c r="G13" s="2"/>
      <c r="V13" s="101"/>
      <c r="W13" s="101"/>
      <c r="X13" s="101" t="s">
        <v>131</v>
      </c>
      <c r="Y13" s="109" t="e">
        <f>SUMIFS(#REF!,#REF!,"T")+SUMIFS(#REF!,#REF!,"MP")</f>
        <v>#REF!</v>
      </c>
      <c r="Z13" s="104" t="e">
        <f>$Y$5&amp;" "&amp;TEXT(Y13,"#,##0")</f>
        <v>#REF!</v>
      </c>
      <c r="AA13" s="105"/>
      <c r="AB13" s="11"/>
      <c r="AC13" s="11"/>
      <c r="BJ13"/>
      <c r="BK13"/>
      <c r="BN13"/>
      <c r="BO13"/>
      <c r="BQ13"/>
      <c r="BR13"/>
      <c r="BT13"/>
      <c r="BU13"/>
    </row>
    <row r="14" spans="1:77" x14ac:dyDescent="0.25">
      <c r="A14" s="2"/>
      <c r="B14" s="261" t="s">
        <v>3</v>
      </c>
      <c r="C14" s="261"/>
      <c r="D14" s="261"/>
      <c r="E14" s="261"/>
      <c r="F14" s="261"/>
      <c r="G14" s="2"/>
      <c r="V14" s="101"/>
      <c r="W14" s="101"/>
      <c r="X14" s="101"/>
      <c r="Y14" s="109"/>
      <c r="Z14" s="105"/>
      <c r="AA14" s="105"/>
      <c r="AB14" s="11"/>
      <c r="AC14" s="11"/>
      <c r="BJ14"/>
      <c r="BK14"/>
      <c r="BN14"/>
      <c r="BO14"/>
      <c r="BQ14"/>
      <c r="BR14"/>
      <c r="BT14"/>
      <c r="BU14"/>
    </row>
    <row r="15" spans="1:77" s="91" customFormat="1" ht="15" customHeight="1" x14ac:dyDescent="0.25">
      <c r="A15" s="2"/>
      <c r="B15" s="49"/>
      <c r="C15" s="49"/>
      <c r="D15" s="49"/>
      <c r="E15" s="49"/>
      <c r="F15" s="49"/>
      <c r="G15" s="2"/>
      <c r="H15" s="49"/>
      <c r="V15" s="101"/>
      <c r="W15" s="101"/>
      <c r="X15" s="101"/>
      <c r="Y15" s="101"/>
      <c r="Z15" s="101"/>
      <c r="AA15" s="101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10"/>
      <c r="AP15" s="8"/>
      <c r="AQ15" s="8"/>
      <c r="AR15" s="8"/>
      <c r="AS15" s="8"/>
      <c r="AT15" s="8"/>
      <c r="AU15" s="8"/>
      <c r="AV15" s="8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2"/>
      <c r="BH15" s="92"/>
      <c r="BJ15"/>
      <c r="BK15"/>
      <c r="BN15"/>
      <c r="BO15"/>
      <c r="BQ15" s="49"/>
      <c r="BR15" s="49"/>
      <c r="BT15" s="49"/>
      <c r="BU15" s="49"/>
    </row>
    <row r="16" spans="1:77" x14ac:dyDescent="0.25">
      <c r="A16" s="2"/>
      <c r="G16" s="2"/>
      <c r="V16" s="101"/>
      <c r="W16" s="101"/>
      <c r="X16" s="101" t="e">
        <f ca="1">SUM(INDIRECT("'Project Dashboard'!E10:E12"))&amp;" Tasks Left"</f>
        <v>#REF!</v>
      </c>
      <c r="Y16" s="101"/>
      <c r="Z16" s="101"/>
      <c r="AA16" s="101"/>
      <c r="BJ16"/>
      <c r="BK16"/>
      <c r="BN16"/>
      <c r="BO16"/>
    </row>
    <row r="17" spans="1:67" ht="21" customHeight="1" x14ac:dyDescent="0.25">
      <c r="A17" s="2"/>
      <c r="G17" s="2"/>
      <c r="BJ17"/>
      <c r="BK17"/>
      <c r="BN17"/>
      <c r="BO17"/>
    </row>
    <row r="18" spans="1:67" ht="4.5" customHeight="1" x14ac:dyDescent="0.25">
      <c r="A18" s="2"/>
      <c r="B18" s="2"/>
      <c r="C18" s="2"/>
      <c r="D18" s="2"/>
      <c r="E18" s="2"/>
      <c r="F18" s="2"/>
      <c r="G18" s="2"/>
      <c r="BJ18"/>
      <c r="BK18"/>
      <c r="BN18"/>
      <c r="BO18"/>
    </row>
    <row r="19" spans="1:67" x14ac:dyDescent="0.25">
      <c r="A19" s="2"/>
      <c r="G19" s="2"/>
      <c r="BJ19"/>
      <c r="BK19"/>
      <c r="BN19"/>
      <c r="BO19"/>
    </row>
    <row r="20" spans="1:67" x14ac:dyDescent="0.25">
      <c r="A20" s="2"/>
      <c r="B20" s="94" t="s">
        <v>129</v>
      </c>
      <c r="D20" s="100" t="s">
        <v>130</v>
      </c>
      <c r="G20" s="2"/>
      <c r="X20"/>
      <c r="Y20"/>
      <c r="Z20"/>
      <c r="BJ20"/>
      <c r="BK20"/>
      <c r="BN20"/>
      <c r="BO20"/>
    </row>
    <row r="21" spans="1:67" x14ac:dyDescent="0.25">
      <c r="A21" s="2"/>
      <c r="G21" s="2"/>
      <c r="X21"/>
      <c r="Y21"/>
      <c r="Z21"/>
      <c r="BJ21"/>
      <c r="BK21"/>
      <c r="BN21"/>
      <c r="BO21"/>
    </row>
    <row r="22" spans="1:67" x14ac:dyDescent="0.25">
      <c r="A22" s="2"/>
      <c r="G22" s="2"/>
      <c r="X22"/>
      <c r="Y22"/>
      <c r="Z22"/>
      <c r="BJ22"/>
      <c r="BK22"/>
      <c r="BN22"/>
      <c r="BO22"/>
    </row>
    <row r="23" spans="1:67" x14ac:dyDescent="0.25">
      <c r="A23" s="2"/>
      <c r="G23" s="2"/>
      <c r="X23"/>
      <c r="Y23"/>
      <c r="Z23"/>
      <c r="BJ23"/>
      <c r="BK23"/>
      <c r="BN23"/>
      <c r="BO23"/>
    </row>
    <row r="24" spans="1:67" x14ac:dyDescent="0.25">
      <c r="A24" s="2"/>
      <c r="G24" s="2"/>
      <c r="BJ24"/>
      <c r="BK24"/>
      <c r="BN24"/>
      <c r="BO24"/>
    </row>
    <row r="25" spans="1:67" x14ac:dyDescent="0.25">
      <c r="A25" s="2"/>
      <c r="G25" s="2"/>
      <c r="BJ25"/>
      <c r="BK25"/>
      <c r="BN25"/>
      <c r="BO25"/>
    </row>
    <row r="26" spans="1:67" s="91" customFormat="1" ht="15" customHeight="1" x14ac:dyDescent="0.25">
      <c r="A26" s="2"/>
      <c r="B26"/>
      <c r="C26"/>
      <c r="D26"/>
      <c r="E26"/>
      <c r="F26"/>
      <c r="G26" s="2"/>
      <c r="H26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10"/>
      <c r="AP26" s="8"/>
      <c r="AQ26" s="8"/>
      <c r="AR26" s="8"/>
      <c r="AS26" s="8"/>
      <c r="AT26" s="8"/>
      <c r="AU26" s="8"/>
      <c r="AV26" s="8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2"/>
      <c r="BH26" s="92"/>
      <c r="BJ26"/>
      <c r="BK26"/>
      <c r="BN26"/>
      <c r="BO26"/>
    </row>
    <row r="27" spans="1:67" x14ac:dyDescent="0.25">
      <c r="A27" s="2"/>
      <c r="B27" s="49"/>
      <c r="C27" s="49"/>
      <c r="D27" s="49"/>
      <c r="E27" s="49"/>
      <c r="F27" s="49"/>
      <c r="G27" s="2"/>
      <c r="H27" s="49"/>
      <c r="BJ27"/>
      <c r="BK27"/>
      <c r="BN27"/>
      <c r="BO27"/>
    </row>
    <row r="28" spans="1:67" x14ac:dyDescent="0.25">
      <c r="A28" s="2"/>
      <c r="G28" s="2"/>
      <c r="BJ28"/>
      <c r="BK28"/>
      <c r="BN28"/>
      <c r="BO28"/>
    </row>
    <row r="29" spans="1:67" x14ac:dyDescent="0.25">
      <c r="A29" s="2"/>
      <c r="G29" s="2"/>
      <c r="BJ29"/>
      <c r="BK29"/>
      <c r="BN29"/>
      <c r="BO29"/>
    </row>
    <row r="30" spans="1:67" x14ac:dyDescent="0.25">
      <c r="A30" s="2"/>
      <c r="G30" s="2"/>
      <c r="BJ30"/>
      <c r="BK30"/>
      <c r="BN30"/>
      <c r="BO30"/>
    </row>
    <row r="31" spans="1:67" x14ac:dyDescent="0.25">
      <c r="A31" s="2"/>
      <c r="G31" s="2"/>
      <c r="BJ31"/>
      <c r="BK31"/>
      <c r="BN31"/>
      <c r="BO31"/>
    </row>
    <row r="32" spans="1:67" x14ac:dyDescent="0.25">
      <c r="A32" s="2"/>
      <c r="G32" s="2"/>
      <c r="BJ32"/>
      <c r="BK32"/>
      <c r="BN32"/>
      <c r="BO32"/>
    </row>
    <row r="33" spans="1:67" x14ac:dyDescent="0.25">
      <c r="A33" s="2"/>
      <c r="G33" s="2"/>
      <c r="BJ33"/>
      <c r="BK33"/>
      <c r="BN33"/>
      <c r="BO33"/>
    </row>
    <row r="34" spans="1:67" ht="15" customHeight="1" x14ac:dyDescent="0.25">
      <c r="A34" s="2"/>
      <c r="B34" s="49"/>
      <c r="C34" s="49"/>
      <c r="D34" s="49"/>
      <c r="E34" s="49"/>
      <c r="F34" s="49"/>
      <c r="G34" s="2"/>
      <c r="BJ34"/>
      <c r="BK34"/>
      <c r="BN34"/>
      <c r="BO34"/>
    </row>
    <row r="35" spans="1:67" ht="15" customHeight="1" x14ac:dyDescent="0.25">
      <c r="A35" s="2"/>
      <c r="B35" s="49"/>
      <c r="C35" s="49"/>
      <c r="D35" s="49"/>
      <c r="E35" s="49"/>
      <c r="F35" s="49"/>
      <c r="G35" s="2"/>
      <c r="BJ35"/>
      <c r="BK35"/>
      <c r="BN35"/>
      <c r="BO35"/>
    </row>
    <row r="36" spans="1:67" ht="5.0999999999999996" customHeight="1" x14ac:dyDescent="0.25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.0999999999999996" customHeight="1" x14ac:dyDescent="0.25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 x14ac:dyDescent="0.25">
      <c r="A38" s="2"/>
      <c r="G38" s="2"/>
      <c r="BJ38"/>
      <c r="BK38"/>
      <c r="BN38"/>
      <c r="BO38"/>
    </row>
    <row r="39" spans="1:67" x14ac:dyDescent="0.25">
      <c r="A39" s="2"/>
      <c r="G39" s="2"/>
      <c r="BJ39"/>
      <c r="BK39"/>
      <c r="BN39"/>
      <c r="BO39"/>
    </row>
    <row r="40" spans="1:67" x14ac:dyDescent="0.25">
      <c r="A40" s="2"/>
      <c r="G40" s="2"/>
      <c r="BJ40"/>
      <c r="BK40"/>
      <c r="BN40"/>
      <c r="BO40"/>
    </row>
    <row r="41" spans="1:67" x14ac:dyDescent="0.25">
      <c r="A41" s="2"/>
      <c r="G41" s="2"/>
      <c r="BJ41"/>
      <c r="BK41"/>
      <c r="BN41"/>
      <c r="BO41"/>
    </row>
    <row r="42" spans="1:67" x14ac:dyDescent="0.25">
      <c r="A42" s="2"/>
      <c r="G42" s="2"/>
      <c r="BJ42"/>
      <c r="BK42"/>
      <c r="BN42"/>
      <c r="BO42"/>
    </row>
    <row r="43" spans="1:67" x14ac:dyDescent="0.25">
      <c r="A43" s="2"/>
      <c r="G43" s="2"/>
      <c r="BJ43"/>
      <c r="BK43"/>
      <c r="BN43"/>
      <c r="BO43"/>
    </row>
    <row r="44" spans="1:67" x14ac:dyDescent="0.25">
      <c r="A44" s="2"/>
      <c r="G44" s="2"/>
    </row>
    <row r="45" spans="1:67" x14ac:dyDescent="0.25">
      <c r="A45" s="2"/>
      <c r="G45" s="2"/>
    </row>
    <row r="46" spans="1:67" x14ac:dyDescent="0.25">
      <c r="A46" s="2"/>
      <c r="G46" s="2"/>
    </row>
    <row r="47" spans="1:67" x14ac:dyDescent="0.25">
      <c r="A47" s="2"/>
      <c r="G47" s="2"/>
    </row>
    <row r="48" spans="1:67" x14ac:dyDescent="0.25">
      <c r="A48" s="2"/>
      <c r="G48" s="2"/>
    </row>
    <row r="49" spans="1:7" x14ac:dyDescent="0.25">
      <c r="A49" s="2"/>
      <c r="G49" s="2"/>
    </row>
    <row r="50" spans="1:7" x14ac:dyDescent="0.25">
      <c r="A50" s="2"/>
      <c r="G50" s="2"/>
    </row>
    <row r="51" spans="1:7" x14ac:dyDescent="0.25">
      <c r="A51" s="2"/>
      <c r="G51" s="2"/>
    </row>
    <row r="52" spans="1:7" x14ac:dyDescent="0.25">
      <c r="A52" s="2"/>
      <c r="G52" s="2"/>
    </row>
    <row r="53" spans="1:7" x14ac:dyDescent="0.25">
      <c r="A53" s="2"/>
      <c r="G53" s="2"/>
    </row>
    <row r="54" spans="1:7" x14ac:dyDescent="0.25">
      <c r="A54" s="2"/>
      <c r="G54" s="2"/>
    </row>
    <row r="55" spans="1:7" x14ac:dyDescent="0.25">
      <c r="A55" s="2"/>
      <c r="G55" s="2"/>
    </row>
    <row r="56" spans="1:7" x14ac:dyDescent="0.25">
      <c r="A56" s="2"/>
      <c r="G56" s="2"/>
    </row>
    <row r="57" spans="1:7" x14ac:dyDescent="0.25">
      <c r="A57" s="2"/>
      <c r="G57" s="2"/>
    </row>
    <row r="58" spans="1:7" x14ac:dyDescent="0.25">
      <c r="A58" s="2"/>
      <c r="G58" s="2"/>
    </row>
    <row r="59" spans="1:7" x14ac:dyDescent="0.25">
      <c r="A59" s="2"/>
      <c r="G59" s="2"/>
    </row>
    <row r="60" spans="1:7" x14ac:dyDescent="0.25">
      <c r="A60" s="2"/>
      <c r="G60" s="2"/>
    </row>
    <row r="61" spans="1:7" x14ac:dyDescent="0.25">
      <c r="A61" s="2"/>
      <c r="G61" s="2"/>
    </row>
    <row r="62" spans="1:7" x14ac:dyDescent="0.25">
      <c r="A62" s="2"/>
      <c r="G62" s="2"/>
    </row>
    <row r="63" spans="1:7" x14ac:dyDescent="0.25">
      <c r="A63" s="2"/>
      <c r="G63" s="2"/>
    </row>
    <row r="64" spans="1:7" x14ac:dyDescent="0.25">
      <c r="A64" s="2"/>
      <c r="G64" s="2"/>
    </row>
    <row r="65" spans="1:7" x14ac:dyDescent="0.25">
      <c r="A65" s="2"/>
      <c r="G65" s="2"/>
    </row>
    <row r="66" spans="1:7" ht="21.75" customHeight="1" x14ac:dyDescent="0.25">
      <c r="A66" s="2"/>
      <c r="G66" s="2"/>
    </row>
    <row r="67" spans="1:7" ht="5.25" customHeight="1" x14ac:dyDescent="0.25">
      <c r="A67" s="2"/>
      <c r="G67" s="2"/>
    </row>
    <row r="68" spans="1:7" x14ac:dyDescent="0.25">
      <c r="A68" s="2"/>
      <c r="G68" s="2"/>
    </row>
    <row r="69" spans="1:7" x14ac:dyDescent="0.25">
      <c r="A69" s="2"/>
      <c r="B69" s="2"/>
      <c r="C69" s="2"/>
      <c r="D69" s="2"/>
      <c r="E69" s="2"/>
      <c r="F69" s="2"/>
      <c r="G69" s="2"/>
    </row>
    <row r="86" spans="7:7" ht="4.3499999999999996" customHeight="1" x14ac:dyDescent="0.25"/>
    <row r="89" spans="7:7" x14ac:dyDescent="0.25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conditionalFormatting sqref="E12">
    <cfRule type="cellIs" dxfId="36" priority="2" operator="greaterThan">
      <formula>0</formula>
    </cfRule>
  </conditionalFormatting>
  <dataValidations count="1">
    <dataValidation type="list" allowBlank="1" showInputMessage="1" showErrorMessage="1" sqref="D2:E2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142875</xdr:colOff>
                    <xdr:row>1</xdr:row>
                    <xdr:rowOff>0</xdr:rowOff>
                  </from>
                  <to>
                    <xdr:col>5</xdr:col>
                    <xdr:colOff>676275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VGC11"/>
  <sheetViews>
    <sheetView showGridLines="0" showRowColHeaders="0" topLeftCell="G6" workbookViewId="0">
      <selection activeCell="G6" sqref="G6"/>
    </sheetView>
  </sheetViews>
  <sheetFormatPr defaultColWidth="0" defaultRowHeight="16.350000000000001" customHeight="1" x14ac:dyDescent="0.25"/>
  <cols>
    <col min="1" max="6" width="16.140625" hidden="1" customWidth="1"/>
    <col min="7" max="7" width="5.7109375" style="7" customWidth="1"/>
    <col min="8" max="8" width="40.7109375" style="7" customWidth="1"/>
    <col min="9" max="9" width="16.7109375" style="7" customWidth="1"/>
    <col min="10" max="13" width="15.140625" style="7" hidden="1" customWidth="1"/>
    <col min="14" max="15" width="14.7109375" style="7" customWidth="1"/>
    <col min="16" max="17" width="8.7109375" style="7" customWidth="1"/>
    <col min="18" max="28" width="0" style="7" hidden="1"/>
  </cols>
  <sheetData>
    <row r="1" spans="1:85 2129:2129 15008:15057" s="50" customFormat="1" ht="12.75" hidden="1" customHeight="1" x14ac:dyDescent="0.25">
      <c r="A1" s="50" t="s">
        <v>21</v>
      </c>
      <c r="B1" s="50" t="s">
        <v>76</v>
      </c>
      <c r="C1" t="s">
        <v>75</v>
      </c>
      <c r="D1" s="50" t="s">
        <v>74</v>
      </c>
      <c r="E1" s="50" t="s">
        <v>73</v>
      </c>
      <c r="F1" s="50" t="s">
        <v>72</v>
      </c>
      <c r="G1" s="84" t="s">
        <v>48</v>
      </c>
      <c r="H1" s="83" t="s">
        <v>47</v>
      </c>
      <c r="I1" s="82" t="s">
        <v>46</v>
      </c>
      <c r="J1" s="80" t="s">
        <v>45</v>
      </c>
      <c r="K1" s="82" t="s">
        <v>44</v>
      </c>
      <c r="L1" s="81" t="s">
        <v>43</v>
      </c>
      <c r="M1" s="80" t="s">
        <v>42</v>
      </c>
      <c r="N1" s="124" t="s">
        <v>41</v>
      </c>
      <c r="O1" s="124" t="s">
        <v>39</v>
      </c>
      <c r="P1" s="133" t="s">
        <v>37</v>
      </c>
      <c r="Q1" s="127" t="s">
        <v>36</v>
      </c>
      <c r="R1" s="81" t="s">
        <v>40</v>
      </c>
      <c r="S1" s="81" t="s">
        <v>38</v>
      </c>
      <c r="T1" s="80" t="s">
        <v>35</v>
      </c>
      <c r="U1" s="139" t="s">
        <v>34</v>
      </c>
      <c r="V1" s="139" t="s">
        <v>33</v>
      </c>
      <c r="W1" s="139" t="s">
        <v>32</v>
      </c>
      <c r="X1" s="79" t="s">
        <v>31</v>
      </c>
      <c r="Y1" s="38" t="s">
        <v>124</v>
      </c>
      <c r="Z1" s="38" t="s">
        <v>123</v>
      </c>
      <c r="AA1" s="38" t="s">
        <v>149</v>
      </c>
      <c r="AB1" s="38" t="s">
        <v>150</v>
      </c>
      <c r="AC1" s="52" t="s">
        <v>122</v>
      </c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52"/>
      <c r="AX1" s="52"/>
      <c r="AY1" s="52"/>
      <c r="AZ1" s="52"/>
      <c r="BA1" s="52"/>
      <c r="BB1" s="52"/>
      <c r="BC1" s="52"/>
      <c r="BD1" s="52"/>
      <c r="BE1" s="52"/>
      <c r="BF1" s="52"/>
      <c r="BG1" s="52"/>
      <c r="BH1" s="52"/>
      <c r="BI1" s="52"/>
      <c r="BJ1" s="52"/>
      <c r="BK1" s="52"/>
      <c r="BL1" s="52"/>
      <c r="BM1" s="52"/>
      <c r="BN1" s="52"/>
      <c r="BO1" s="52"/>
      <c r="BP1" s="52"/>
      <c r="BQ1" s="52"/>
      <c r="BR1" s="52"/>
      <c r="BS1" s="52"/>
      <c r="BT1" s="52"/>
      <c r="BU1" s="52"/>
      <c r="BV1" s="52"/>
      <c r="BW1" s="52"/>
      <c r="BX1" s="52"/>
      <c r="BY1" s="52"/>
      <c r="BZ1" s="52"/>
      <c r="CA1" s="52"/>
      <c r="CB1" s="52"/>
      <c r="CC1" s="52"/>
      <c r="CD1" s="52"/>
      <c r="CE1" s="52"/>
      <c r="CF1" s="52" t="s">
        <v>121</v>
      </c>
      <c r="CG1" s="51"/>
      <c r="CCW1" s="50" t="s">
        <v>120</v>
      </c>
      <c r="VEF1" s="50" t="s">
        <v>119</v>
      </c>
      <c r="VEG1" s="50" t="s">
        <v>7</v>
      </c>
      <c r="VEH1" s="50" t="s">
        <v>9</v>
      </c>
      <c r="VEI1" s="50" t="s">
        <v>118</v>
      </c>
      <c r="VEJ1" s="50" t="s">
        <v>117</v>
      </c>
      <c r="VEK1" s="50" t="s">
        <v>159</v>
      </c>
      <c r="VEL1" s="50" t="s">
        <v>151</v>
      </c>
      <c r="VEM1" s="50" t="s">
        <v>152</v>
      </c>
      <c r="VEN1" s="50" t="s">
        <v>116</v>
      </c>
      <c r="VEO1" s="50" t="s">
        <v>115</v>
      </c>
      <c r="VEP1" s="50" t="s">
        <v>114</v>
      </c>
      <c r="VEQ1" s="50" t="s">
        <v>113</v>
      </c>
      <c r="VER1" s="50" t="s">
        <v>112</v>
      </c>
      <c r="VES1" s="50" t="s">
        <v>111</v>
      </c>
      <c r="VET1" s="50" t="s">
        <v>110</v>
      </c>
      <c r="VEU1" s="50" t="s">
        <v>109</v>
      </c>
      <c r="VEV1" s="50" t="s">
        <v>108</v>
      </c>
      <c r="VEW1" s="50" t="s">
        <v>107</v>
      </c>
      <c r="VEX1" s="50" t="s">
        <v>106</v>
      </c>
      <c r="VEY1" s="50" t="s">
        <v>105</v>
      </c>
      <c r="VEZ1" s="50" t="s">
        <v>104</v>
      </c>
      <c r="VFA1" s="50" t="s">
        <v>103</v>
      </c>
      <c r="VFB1" s="50" t="s">
        <v>102</v>
      </c>
      <c r="VFC1" s="50" t="s">
        <v>145</v>
      </c>
      <c r="VFD1" s="50" t="s">
        <v>101</v>
      </c>
      <c r="VFE1" s="50" t="s">
        <v>100</v>
      </c>
      <c r="VFF1" s="50" t="s">
        <v>99</v>
      </c>
      <c r="VFG1" s="50" t="s">
        <v>98</v>
      </c>
      <c r="VFH1" s="50" t="s">
        <v>97</v>
      </c>
      <c r="VFI1" s="50" t="s">
        <v>96</v>
      </c>
      <c r="VFJ1" s="50" t="s">
        <v>95</v>
      </c>
      <c r="VFK1" s="50" t="s">
        <v>94</v>
      </c>
      <c r="VFL1" s="50" t="s">
        <v>93</v>
      </c>
      <c r="VFM1" s="50" t="s">
        <v>92</v>
      </c>
      <c r="VFN1" s="50" t="s">
        <v>91</v>
      </c>
      <c r="VFO1" s="50" t="s">
        <v>90</v>
      </c>
      <c r="VFP1" s="50" t="s">
        <v>89</v>
      </c>
      <c r="VFQ1" s="50" t="s">
        <v>88</v>
      </c>
      <c r="VFR1" s="50" t="s">
        <v>87</v>
      </c>
      <c r="VFS1" s="50" t="s">
        <v>86</v>
      </c>
      <c r="VFT1" s="50" t="s">
        <v>85</v>
      </c>
      <c r="VFU1" s="50" t="s">
        <v>84</v>
      </c>
      <c r="VFV1" s="50" t="s">
        <v>83</v>
      </c>
      <c r="VFW1" s="50" t="s">
        <v>82</v>
      </c>
      <c r="VFX1" s="50" t="s">
        <v>136</v>
      </c>
      <c r="VFY1" s="50" t="s">
        <v>144</v>
      </c>
      <c r="VFZ1" s="50" t="s">
        <v>154</v>
      </c>
      <c r="VGA1" s="50" t="s">
        <v>155</v>
      </c>
      <c r="VGB1" s="50" t="s">
        <v>161</v>
      </c>
      <c r="VGC1" s="50" t="s">
        <v>192</v>
      </c>
    </row>
    <row r="2" spans="1:85 2129:2129 15008:15057" s="50" customFormat="1" ht="12.75" hidden="1" customHeight="1" x14ac:dyDescent="0.2">
      <c r="A2" s="89" t="s">
        <v>81</v>
      </c>
      <c r="B2" s="89" t="s">
        <v>81</v>
      </c>
      <c r="C2" s="89" t="s">
        <v>81</v>
      </c>
      <c r="D2" s="89" t="s">
        <v>81</v>
      </c>
      <c r="E2" s="89" t="s">
        <v>81</v>
      </c>
      <c r="F2" s="89" t="s">
        <v>81</v>
      </c>
      <c r="G2" s="84" t="s">
        <v>81</v>
      </c>
      <c r="H2" s="83" t="s">
        <v>81</v>
      </c>
      <c r="I2" s="82" t="s">
        <v>81</v>
      </c>
      <c r="J2" s="80" t="s">
        <v>81</v>
      </c>
      <c r="K2" s="82" t="s">
        <v>81</v>
      </c>
      <c r="L2" s="81" t="s">
        <v>81</v>
      </c>
      <c r="M2" s="80" t="s">
        <v>81</v>
      </c>
      <c r="N2" s="124" t="s">
        <v>81</v>
      </c>
      <c r="O2" s="124" t="s">
        <v>81</v>
      </c>
      <c r="P2" s="133" t="s">
        <v>81</v>
      </c>
      <c r="Q2" s="128" t="s">
        <v>81</v>
      </c>
      <c r="R2" s="81" t="s">
        <v>81</v>
      </c>
      <c r="S2" s="81" t="s">
        <v>81</v>
      </c>
      <c r="T2" s="80" t="s">
        <v>81</v>
      </c>
      <c r="U2" s="133" t="s">
        <v>81</v>
      </c>
      <c r="V2" s="133" t="s">
        <v>81</v>
      </c>
      <c r="W2" s="133" t="s">
        <v>81</v>
      </c>
      <c r="X2" s="88" t="s">
        <v>81</v>
      </c>
      <c r="Y2" s="115" t="s">
        <v>81</v>
      </c>
      <c r="Z2" s="115" t="s">
        <v>81</v>
      </c>
      <c r="AA2" s="115" t="s">
        <v>81</v>
      </c>
      <c r="AB2" s="115" t="s">
        <v>81</v>
      </c>
      <c r="AC2" s="52"/>
      <c r="AD2" s="52"/>
      <c r="AE2" s="52"/>
      <c r="AF2" s="52"/>
      <c r="AG2" s="52"/>
      <c r="AH2" s="52"/>
      <c r="AI2" s="52"/>
      <c r="AJ2" s="52"/>
      <c r="AK2" s="52"/>
      <c r="AL2" s="52"/>
      <c r="AM2" s="52"/>
      <c r="AN2" s="52"/>
      <c r="AO2" s="52"/>
      <c r="AP2" s="52"/>
      <c r="AQ2" s="52"/>
      <c r="AR2" s="52"/>
      <c r="AS2" s="52"/>
      <c r="AT2" s="52"/>
      <c r="AU2" s="52"/>
      <c r="AV2" s="52"/>
      <c r="AW2" s="52"/>
      <c r="AX2" s="52"/>
      <c r="AY2" s="52"/>
      <c r="AZ2" s="52"/>
      <c r="BA2" s="52"/>
      <c r="BB2" s="52"/>
      <c r="BC2" s="52"/>
      <c r="BD2" s="52"/>
      <c r="BE2" s="52"/>
      <c r="BF2" s="52"/>
      <c r="BG2" s="52"/>
      <c r="BH2" s="52"/>
      <c r="BI2" s="52"/>
      <c r="BJ2" s="52"/>
      <c r="BK2" s="52"/>
      <c r="BL2" s="52"/>
      <c r="BM2" s="52"/>
      <c r="BN2" s="52"/>
      <c r="BO2" s="52"/>
      <c r="BP2" s="52"/>
      <c r="BQ2" s="52"/>
      <c r="BR2" s="52"/>
      <c r="BS2" s="52"/>
      <c r="BT2" s="52"/>
      <c r="BU2" s="52"/>
      <c r="BV2" s="52"/>
      <c r="BW2" s="52"/>
      <c r="BX2" s="52"/>
      <c r="BY2" s="52"/>
      <c r="BZ2" s="52"/>
      <c r="CA2" s="52"/>
      <c r="CB2" s="52"/>
      <c r="CC2" s="52"/>
      <c r="CD2" s="52"/>
      <c r="CE2" s="52"/>
      <c r="CF2" s="52"/>
      <c r="CG2" s="51"/>
      <c r="VEF2" s="86" t="b">
        <v>1</v>
      </c>
      <c r="VEG2" s="86"/>
      <c r="VEH2" s="86"/>
      <c r="VEI2" s="86"/>
      <c r="VEJ2" s="86">
        <v>0</v>
      </c>
      <c r="VEK2" s="86">
        <v>0</v>
      </c>
      <c r="VEL2" s="86">
        <v>0</v>
      </c>
      <c r="VEM2" s="86">
        <v>0</v>
      </c>
      <c r="VEN2" s="86" t="s">
        <v>11</v>
      </c>
      <c r="VEO2" s="86">
        <v>1</v>
      </c>
      <c r="VEP2" s="86" t="s">
        <v>80</v>
      </c>
      <c r="VEQ2" s="86">
        <v>1</v>
      </c>
      <c r="VER2" s="86">
        <v>1</v>
      </c>
      <c r="VES2" s="86">
        <v>1</v>
      </c>
      <c r="VET2" s="86">
        <v>1</v>
      </c>
      <c r="VEU2" s="86"/>
      <c r="VEV2" s="86">
        <v>1</v>
      </c>
      <c r="VEW2" s="86">
        <v>1</v>
      </c>
      <c r="VEX2" s="86">
        <v>1</v>
      </c>
      <c r="VEY2" s="86">
        <v>1</v>
      </c>
      <c r="VEZ2" s="86">
        <v>1</v>
      </c>
      <c r="VFA2" s="86"/>
      <c r="VFB2" s="86">
        <v>1</v>
      </c>
      <c r="VFC2" s="50" t="s">
        <v>146</v>
      </c>
      <c r="VFD2" s="86">
        <v>1</v>
      </c>
      <c r="VFE2" s="87">
        <v>16</v>
      </c>
      <c r="VFF2" s="86">
        <v>0</v>
      </c>
      <c r="VFG2" s="50">
        <v>1</v>
      </c>
      <c r="VFH2" s="50">
        <v>1</v>
      </c>
      <c r="VFI2" s="50" t="s">
        <v>213</v>
      </c>
      <c r="VFJ2" s="50">
        <v>0</v>
      </c>
      <c r="VFK2" s="50" t="s">
        <v>79</v>
      </c>
      <c r="VFL2" s="50">
        <v>1</v>
      </c>
      <c r="VFM2" s="50">
        <v>0</v>
      </c>
      <c r="VFN2" s="85" t="s">
        <v>232</v>
      </c>
      <c r="VFO2" s="85" t="s">
        <v>233</v>
      </c>
      <c r="VFP2" s="85" t="s">
        <v>214</v>
      </c>
      <c r="VFR2" s="50">
        <v>25</v>
      </c>
      <c r="VFS2" s="50">
        <v>10</v>
      </c>
      <c r="VFT2" s="50" t="s">
        <v>47</v>
      </c>
      <c r="VFU2" s="50">
        <v>0</v>
      </c>
      <c r="VFV2" s="50">
        <v>0</v>
      </c>
      <c r="VFW2" s="50">
        <v>0</v>
      </c>
      <c r="VFX2" s="60" t="s">
        <v>215</v>
      </c>
      <c r="VFY2" s="50" t="s">
        <v>216</v>
      </c>
      <c r="VFZ2" s="50" t="s">
        <v>156</v>
      </c>
      <c r="VGA2" s="50" t="s">
        <v>157</v>
      </c>
      <c r="VGB2" s="147">
        <v>43511</v>
      </c>
      <c r="VGC2" s="50">
        <v>1</v>
      </c>
    </row>
    <row r="3" spans="1:85 2129:2129 15008:15057" s="50" customFormat="1" ht="12.75" hidden="1" customHeight="1" x14ac:dyDescent="0.2">
      <c r="A3" s="86"/>
      <c r="G3" s="84"/>
      <c r="H3" s="83"/>
      <c r="I3" s="82"/>
      <c r="J3" s="80"/>
      <c r="K3" s="82"/>
      <c r="L3" s="81"/>
      <c r="M3" s="80"/>
      <c r="N3" s="124"/>
      <c r="O3" s="124"/>
      <c r="P3" s="133"/>
      <c r="Q3" s="127"/>
      <c r="R3" s="81"/>
      <c r="S3" s="81"/>
      <c r="T3" s="80"/>
      <c r="U3" s="139"/>
      <c r="V3" s="139"/>
      <c r="W3" s="139"/>
      <c r="X3" s="79"/>
      <c r="Y3" s="38"/>
      <c r="Z3" s="38"/>
      <c r="AA3" s="38"/>
      <c r="AB3" s="38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1"/>
    </row>
    <row r="4" spans="1:85 2129:2129 15008:15057" s="50" customFormat="1" ht="12.75" hidden="1" customHeight="1" x14ac:dyDescent="0.2">
      <c r="G4" s="84"/>
      <c r="H4" s="83"/>
      <c r="I4" s="82"/>
      <c r="J4" s="80"/>
      <c r="K4" s="82"/>
      <c r="L4" s="81"/>
      <c r="M4" s="80"/>
      <c r="N4" s="124"/>
      <c r="O4" s="124"/>
      <c r="P4" s="133"/>
      <c r="Q4" s="127"/>
      <c r="R4" s="81"/>
      <c r="S4" s="81"/>
      <c r="T4" s="80"/>
      <c r="U4" s="139"/>
      <c r="V4" s="139"/>
      <c r="W4" s="139"/>
      <c r="X4" s="79"/>
      <c r="Y4" s="38"/>
      <c r="Z4" s="38"/>
      <c r="AA4" s="38"/>
      <c r="AB4" s="38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  <c r="CG4" s="51"/>
    </row>
    <row r="5" spans="1:85 2129:2129 15008:15057" s="50" customFormat="1" ht="12.75" hidden="1" customHeight="1" x14ac:dyDescent="0.2">
      <c r="G5" s="84"/>
      <c r="H5" s="83"/>
      <c r="I5" s="82"/>
      <c r="J5" s="80"/>
      <c r="K5" s="82"/>
      <c r="L5" s="81"/>
      <c r="M5" s="80"/>
      <c r="N5" s="124"/>
      <c r="O5" s="124"/>
      <c r="P5" s="133"/>
      <c r="Q5" s="127"/>
      <c r="R5" s="81"/>
      <c r="S5" s="81"/>
      <c r="T5" s="80"/>
      <c r="U5" s="139"/>
      <c r="V5" s="139"/>
      <c r="W5" s="139"/>
      <c r="X5" s="79"/>
      <c r="Y5" s="38"/>
      <c r="Z5" s="38"/>
      <c r="AA5" s="38"/>
      <c r="AB5" s="38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1"/>
    </row>
    <row r="6" spans="1:85 2129:2129 15008:15057" ht="27" customHeight="1" x14ac:dyDescent="0.25">
      <c r="A6" s="50"/>
      <c r="B6" s="50"/>
      <c r="C6" s="50"/>
      <c r="D6" s="50"/>
      <c r="E6" s="50"/>
      <c r="F6" s="50"/>
      <c r="G6" s="142" t="s">
        <v>78</v>
      </c>
      <c r="H6" s="76"/>
      <c r="I6" s="76"/>
      <c r="J6" s="78"/>
      <c r="K6" s="76"/>
      <c r="L6" s="76"/>
      <c r="M6" s="78"/>
      <c r="N6" s="77"/>
      <c r="O6" s="77"/>
      <c r="P6" s="134"/>
      <c r="Q6" s="129"/>
      <c r="R6" s="76"/>
      <c r="S6" s="76"/>
      <c r="T6" s="78"/>
      <c r="U6" s="134"/>
      <c r="V6" s="134"/>
      <c r="W6" s="134"/>
      <c r="X6" s="76"/>
      <c r="Y6" s="76"/>
      <c r="Z6" s="76"/>
      <c r="AA6" s="76"/>
      <c r="AB6" s="76"/>
    </row>
    <row r="7" spans="1:85 2129:2129 15008:15057" ht="14.1" customHeight="1" x14ac:dyDescent="0.25">
      <c r="A7" s="50"/>
      <c r="B7" s="50"/>
      <c r="C7" s="50"/>
      <c r="D7" s="50"/>
      <c r="E7" s="50"/>
      <c r="F7" s="50"/>
      <c r="G7" s="143" t="s">
        <v>206</v>
      </c>
      <c r="H7" s="144"/>
      <c r="I7" s="75"/>
      <c r="J7" s="145"/>
      <c r="K7" s="75"/>
      <c r="L7" s="74"/>
      <c r="M7" s="73"/>
      <c r="N7" s="125"/>
      <c r="O7" s="125"/>
      <c r="P7" s="135"/>
      <c r="Q7" s="130"/>
      <c r="R7" s="74"/>
      <c r="S7" s="74"/>
      <c r="T7" s="73"/>
      <c r="U7" s="140"/>
      <c r="V7" s="140"/>
      <c r="W7" s="140"/>
      <c r="X7" s="72"/>
      <c r="Y7" s="72"/>
      <c r="Z7" s="72"/>
      <c r="AA7" s="72"/>
      <c r="AB7" s="72"/>
    </row>
    <row r="8" spans="1:85 2129:2129 15008:15057" ht="14.1" customHeight="1" x14ac:dyDescent="0.25">
      <c r="A8" s="50"/>
      <c r="B8" s="50"/>
      <c r="C8" s="50"/>
      <c r="D8" s="50"/>
      <c r="E8" s="50"/>
      <c r="F8" s="50"/>
      <c r="G8" s="71" t="s">
        <v>77</v>
      </c>
      <c r="H8" s="70"/>
      <c r="I8" s="70"/>
      <c r="J8" s="69"/>
      <c r="K8" s="70"/>
      <c r="L8" s="70"/>
      <c r="M8" s="69"/>
      <c r="N8" s="126"/>
      <c r="O8" s="126"/>
      <c r="P8" s="136"/>
      <c r="Q8" s="131"/>
      <c r="R8" s="70"/>
      <c r="S8" s="70"/>
      <c r="T8" s="69"/>
      <c r="U8" s="141"/>
      <c r="V8" s="141"/>
      <c r="W8" s="141"/>
      <c r="X8" s="68"/>
      <c r="Y8" s="68"/>
      <c r="Z8" s="68"/>
      <c r="AA8" s="68"/>
      <c r="AB8" s="68"/>
    </row>
    <row r="9" spans="1:85 2129:2129 15008:15057" ht="23.25" customHeight="1" x14ac:dyDescent="0.25">
      <c r="A9" s="60" t="s">
        <v>21</v>
      </c>
      <c r="B9" s="60" t="s">
        <v>76</v>
      </c>
      <c r="C9" s="60" t="s">
        <v>75</v>
      </c>
      <c r="D9" s="60" t="s">
        <v>74</v>
      </c>
      <c r="E9" s="60" t="s">
        <v>73</v>
      </c>
      <c r="F9" s="60" t="s">
        <v>72</v>
      </c>
      <c r="G9" s="67" t="s">
        <v>48</v>
      </c>
      <c r="H9" s="66" t="s">
        <v>71</v>
      </c>
      <c r="I9" s="65" t="s">
        <v>70</v>
      </c>
      <c r="J9" s="138" t="s">
        <v>69</v>
      </c>
      <c r="K9" s="65" t="s">
        <v>68</v>
      </c>
      <c r="L9" s="63" t="s">
        <v>67</v>
      </c>
      <c r="M9" s="62" t="s">
        <v>66</v>
      </c>
      <c r="N9" s="64" t="s">
        <v>65</v>
      </c>
      <c r="O9" s="63" t="s">
        <v>64</v>
      </c>
      <c r="P9" s="62" t="s">
        <v>63</v>
      </c>
      <c r="Q9" s="61" t="s">
        <v>142</v>
      </c>
      <c r="R9" s="64" t="s">
        <v>62</v>
      </c>
      <c r="S9" s="63" t="s">
        <v>61</v>
      </c>
      <c r="T9" s="62" t="s">
        <v>60</v>
      </c>
      <c r="U9" s="138" t="s">
        <v>59</v>
      </c>
      <c r="V9" s="138" t="s">
        <v>58</v>
      </c>
      <c r="W9" s="138" t="s">
        <v>5</v>
      </c>
      <c r="X9" s="61" t="s">
        <v>31</v>
      </c>
      <c r="Y9" s="61" t="s">
        <v>57</v>
      </c>
      <c r="Z9" s="61" t="s">
        <v>56</v>
      </c>
      <c r="AA9" s="114" t="s">
        <v>147</v>
      </c>
      <c r="AB9" s="114" t="s">
        <v>148</v>
      </c>
    </row>
    <row r="10" spans="1:85 2129:2129 15008:15057" ht="16.350000000000001" customHeight="1" x14ac:dyDescent="0.25">
      <c r="A10" t="s">
        <v>55</v>
      </c>
      <c r="B10">
        <v>1</v>
      </c>
      <c r="G10" s="53">
        <v>1</v>
      </c>
      <c r="H10" s="58" t="s">
        <v>54</v>
      </c>
      <c r="I10" s="58"/>
      <c r="J10" s="137"/>
      <c r="K10" s="57"/>
      <c r="L10" s="56"/>
      <c r="M10" s="55"/>
      <c r="N10" s="56">
        <v>42393</v>
      </c>
      <c r="O10" s="56">
        <v>42394</v>
      </c>
      <c r="P10" s="55">
        <v>1</v>
      </c>
      <c r="Q10" s="132">
        <v>0</v>
      </c>
      <c r="R10" s="56"/>
      <c r="S10" s="56"/>
      <c r="T10" s="55"/>
      <c r="U10" s="146"/>
      <c r="V10" s="146"/>
      <c r="W10" s="146"/>
      <c r="X10" s="54"/>
      <c r="Y10" s="200"/>
      <c r="Z10" s="201"/>
      <c r="AA10" s="116"/>
      <c r="AB10" s="117"/>
    </row>
    <row r="11" spans="1:85 2129:2129 15008:15057" ht="16.350000000000001" customHeight="1" x14ac:dyDescent="0.25">
      <c r="G11" s="53"/>
      <c r="H11" s="59" t="s">
        <v>53</v>
      </c>
      <c r="I11" s="58"/>
      <c r="J11" s="137"/>
      <c r="K11" s="57"/>
      <c r="L11" s="56"/>
      <c r="M11" s="55"/>
      <c r="N11" s="56"/>
      <c r="O11" s="56"/>
      <c r="P11" s="55"/>
      <c r="Q11" s="132"/>
      <c r="R11" s="56"/>
      <c r="S11" s="56"/>
      <c r="T11" s="55"/>
      <c r="U11" s="146"/>
      <c r="V11" s="146"/>
      <c r="W11" s="146"/>
      <c r="X11" s="54"/>
      <c r="Y11" s="54"/>
      <c r="Z11" s="54"/>
      <c r="AA11" s="54"/>
      <c r="AB11" s="54"/>
    </row>
  </sheetData>
  <sheetProtection algorithmName="SHA-512" hashValue="9k4UqGTXL5DxH/T70EC0DzFH594dNqk8weuXJ7mftLAU80SsjG43owQi12BG1McGjcYjlgAxm/bdkw2kh9JA5A==" saltValue="MJcKy5lhjNQvmY74bqim+g==" spinCount="100000" sheet="1" objects="1" scenarios="1" formatCells="0" formatColumns="0" formatRows="0" insertHyperlinks="0" autoFilter="0"/>
  <pageMargins left="0.25" right="0.25" top="0.5" bottom="0.5" header="0.5" footer="0.25"/>
  <pageSetup paperSize="8" scale="79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CL13"/>
  <sheetViews>
    <sheetView workbookViewId="0"/>
  </sheetViews>
  <sheetFormatPr defaultRowHeight="15" x14ac:dyDescent="0.25"/>
  <cols>
    <col min="1" max="1" width="15" bestFit="1" customWidth="1"/>
    <col min="2" max="2" width="13.5703125" bestFit="1" customWidth="1"/>
    <col min="6" max="6" width="12.28515625" style="152" bestFit="1" customWidth="1"/>
    <col min="7" max="7" width="13.5703125" style="153" bestFit="1" customWidth="1"/>
    <col min="11" max="11" width="2.140625" customWidth="1"/>
  </cols>
  <sheetData>
    <row r="1" spans="1:90" x14ac:dyDescent="0.25">
      <c r="A1" s="154" t="s">
        <v>164</v>
      </c>
      <c r="B1" s="154" t="s">
        <v>69</v>
      </c>
      <c r="C1" s="154"/>
      <c r="D1" s="154"/>
      <c r="E1" s="154"/>
      <c r="F1" s="155" t="s">
        <v>166</v>
      </c>
      <c r="G1" s="156" t="s">
        <v>165</v>
      </c>
      <c r="H1" s="154"/>
      <c r="K1" s="189" t="s">
        <v>207</v>
      </c>
      <c r="L1" s="189"/>
      <c r="M1" s="189"/>
      <c r="N1" s="189"/>
      <c r="O1" s="189"/>
      <c r="P1" s="189"/>
      <c r="Q1" s="189"/>
      <c r="X1" s="157" t="s">
        <v>168</v>
      </c>
      <c r="Y1" s="157" t="s">
        <v>181</v>
      </c>
      <c r="Z1" s="157" t="s">
        <v>171</v>
      </c>
      <c r="AA1" s="157" t="s">
        <v>170</v>
      </c>
      <c r="AB1" s="157" t="s">
        <v>142</v>
      </c>
      <c r="AC1" s="157" t="s">
        <v>172</v>
      </c>
      <c r="AD1" s="157" t="s">
        <v>173</v>
      </c>
      <c r="AE1" s="157" t="s">
        <v>174</v>
      </c>
      <c r="AF1" s="157" t="s">
        <v>175</v>
      </c>
      <c r="AG1" s="157" t="s">
        <v>176</v>
      </c>
      <c r="AH1" s="157" t="s">
        <v>177</v>
      </c>
      <c r="AI1" s="157" t="s">
        <v>182</v>
      </c>
      <c r="AJ1" s="157" t="s">
        <v>183</v>
      </c>
      <c r="AK1" s="157" t="s">
        <v>184</v>
      </c>
      <c r="AL1" s="157" t="s">
        <v>186</v>
      </c>
      <c r="AM1" s="157" t="s">
        <v>187</v>
      </c>
      <c r="AN1" s="157" t="s">
        <v>190</v>
      </c>
      <c r="AO1" s="157" t="s">
        <v>191</v>
      </c>
      <c r="AP1" s="157" t="s">
        <v>188</v>
      </c>
      <c r="AQ1" s="157" t="s">
        <v>189</v>
      </c>
      <c r="AR1" s="157" t="s">
        <v>210</v>
      </c>
      <c r="BA1" s="50"/>
      <c r="BB1" s="50"/>
      <c r="BC1" s="50"/>
      <c r="BD1" s="50"/>
      <c r="BE1" s="50"/>
      <c r="BF1" s="50"/>
      <c r="BG1" s="50"/>
      <c r="BH1" s="50"/>
      <c r="BI1" s="50"/>
      <c r="BJ1" s="50"/>
      <c r="BK1" s="50"/>
      <c r="BL1" s="50"/>
      <c r="BM1" s="50"/>
      <c r="CA1" t="s">
        <v>211</v>
      </c>
      <c r="CB1" t="s">
        <v>195</v>
      </c>
      <c r="CC1" t="s">
        <v>196</v>
      </c>
      <c r="CD1" t="s">
        <v>197</v>
      </c>
      <c r="CE1" t="s">
        <v>198</v>
      </c>
      <c r="CF1" t="s">
        <v>199</v>
      </c>
      <c r="CG1" t="s">
        <v>203</v>
      </c>
      <c r="CH1" t="s">
        <v>200</v>
      </c>
      <c r="CI1" t="s">
        <v>201</v>
      </c>
      <c r="CJ1" t="s">
        <v>202</v>
      </c>
      <c r="CK1" t="s">
        <v>204</v>
      </c>
      <c r="CL1" t="s">
        <v>205</v>
      </c>
    </row>
    <row r="2" spans="1:90" x14ac:dyDescent="0.25">
      <c r="A2" s="154"/>
      <c r="B2" s="154"/>
      <c r="C2" s="154"/>
      <c r="D2" s="154"/>
      <c r="E2" s="154"/>
      <c r="H2" s="154"/>
      <c r="K2" s="190">
        <v>1</v>
      </c>
      <c r="L2" s="190" t="s">
        <v>193</v>
      </c>
      <c r="M2" s="190"/>
      <c r="N2" s="190"/>
      <c r="O2" s="190"/>
      <c r="P2" s="190"/>
      <c r="Q2" s="190"/>
      <c r="X2" t="s">
        <v>179</v>
      </c>
      <c r="Y2" t="s">
        <v>178</v>
      </c>
      <c r="Z2" s="192"/>
      <c r="AA2" s="191"/>
      <c r="AB2" s="1"/>
      <c r="AC2" s="170"/>
      <c r="AD2" s="184"/>
      <c r="AE2" s="183"/>
      <c r="AF2" s="194"/>
      <c r="AG2" s="171"/>
      <c r="AH2" s="185"/>
      <c r="AI2" s="1"/>
      <c r="AJ2" s="177"/>
      <c r="AK2">
        <v>2</v>
      </c>
      <c r="AL2" s="159"/>
      <c r="AM2" s="186"/>
      <c r="AN2" s="177"/>
      <c r="AO2" s="176"/>
      <c r="AP2" s="185"/>
      <c r="AQ2" s="49"/>
      <c r="AR2" s="181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CA2">
        <v>56</v>
      </c>
      <c r="CB2">
        <v>56</v>
      </c>
      <c r="CC2">
        <v>56</v>
      </c>
      <c r="CD2">
        <v>56</v>
      </c>
      <c r="CE2">
        <v>56</v>
      </c>
      <c r="CF2">
        <v>56</v>
      </c>
      <c r="CG2">
        <v>2</v>
      </c>
      <c r="CH2">
        <v>2</v>
      </c>
      <c r="CI2">
        <v>2</v>
      </c>
      <c r="CJ2">
        <v>2</v>
      </c>
      <c r="CK2">
        <v>2</v>
      </c>
      <c r="CL2">
        <v>2</v>
      </c>
    </row>
    <row r="3" spans="1:90" x14ac:dyDescent="0.25">
      <c r="A3" s="154"/>
      <c r="B3" s="154"/>
      <c r="C3" s="154"/>
      <c r="D3" s="154"/>
      <c r="E3" s="154"/>
      <c r="F3" s="155"/>
      <c r="G3" s="156"/>
      <c r="H3" s="154"/>
      <c r="K3" s="190">
        <v>2</v>
      </c>
      <c r="L3" s="190" t="s">
        <v>194</v>
      </c>
      <c r="M3" s="190"/>
      <c r="N3" s="190"/>
      <c r="O3" s="190"/>
      <c r="P3" s="190"/>
      <c r="Q3" s="190"/>
      <c r="X3" t="s">
        <v>178</v>
      </c>
      <c r="Z3" s="199"/>
      <c r="AA3" s="169"/>
      <c r="AB3" s="198"/>
      <c r="AC3" s="161"/>
      <c r="AD3" s="1"/>
      <c r="AE3" s="163"/>
      <c r="AF3" s="162"/>
      <c r="AG3" s="164"/>
      <c r="AH3" s="168"/>
      <c r="AI3" s="171"/>
      <c r="AJ3" s="176"/>
      <c r="AL3" s="173"/>
      <c r="AM3" s="187"/>
      <c r="AN3" s="158"/>
      <c r="AO3" s="188"/>
      <c r="AP3" s="49"/>
      <c r="AQ3" s="188"/>
      <c r="AR3" s="181"/>
    </row>
    <row r="4" spans="1:90" x14ac:dyDescent="0.25">
      <c r="A4" s="154"/>
      <c r="B4" s="154"/>
      <c r="C4" s="154"/>
      <c r="D4" s="154"/>
      <c r="E4" s="154"/>
      <c r="F4" s="155"/>
      <c r="G4" s="156"/>
      <c r="H4" s="154"/>
      <c r="K4" s="190">
        <v>3</v>
      </c>
      <c r="L4" s="190" t="s">
        <v>212</v>
      </c>
      <c r="M4" s="190"/>
      <c r="N4" s="190"/>
      <c r="O4" s="190"/>
      <c r="P4" s="190"/>
      <c r="Q4" s="190"/>
      <c r="X4" t="s">
        <v>180</v>
      </c>
      <c r="Z4" s="158"/>
      <c r="AA4" s="159"/>
      <c r="AB4" s="170"/>
      <c r="AC4" s="172"/>
      <c r="AD4" s="169"/>
      <c r="AE4" s="167"/>
      <c r="AF4" s="166"/>
      <c r="AG4" s="179"/>
      <c r="AH4" s="178"/>
      <c r="AI4" s="170"/>
      <c r="AJ4" s="158"/>
      <c r="AL4" s="159"/>
      <c r="AM4" s="193"/>
      <c r="AN4" s="195"/>
      <c r="AR4" s="181"/>
    </row>
    <row r="5" spans="1:90" x14ac:dyDescent="0.25">
      <c r="A5" s="154"/>
      <c r="B5" s="154"/>
      <c r="C5" s="154"/>
      <c r="D5" s="154"/>
      <c r="E5" s="154"/>
      <c r="F5" s="155"/>
      <c r="G5" s="156"/>
      <c r="H5" s="154"/>
      <c r="K5" s="190">
        <v>4</v>
      </c>
      <c r="L5" s="190" t="s">
        <v>167</v>
      </c>
      <c r="M5" s="190"/>
      <c r="N5" s="190"/>
      <c r="O5" s="190"/>
      <c r="P5" s="190"/>
      <c r="Q5" s="190"/>
      <c r="X5" t="s">
        <v>169</v>
      </c>
      <c r="Z5" s="165"/>
      <c r="AB5" s="182"/>
      <c r="AC5" s="175"/>
      <c r="AD5" s="174"/>
      <c r="AE5" s="183"/>
      <c r="AF5" s="162"/>
      <c r="AG5" s="180"/>
      <c r="AH5" s="164"/>
      <c r="AI5" s="181"/>
      <c r="AJ5" s="160"/>
      <c r="AL5" s="173"/>
      <c r="AM5" s="186"/>
      <c r="AN5" s="177"/>
      <c r="AO5" s="176"/>
      <c r="AP5" s="185"/>
      <c r="AQ5" s="49"/>
      <c r="AR5" s="181"/>
    </row>
    <row r="6" spans="1:90" x14ac:dyDescent="0.25">
      <c r="A6" s="154"/>
      <c r="B6" s="154"/>
      <c r="C6" s="154"/>
      <c r="D6" s="154"/>
      <c r="E6" s="154"/>
      <c r="F6" s="155"/>
      <c r="G6" s="156"/>
      <c r="H6" s="154"/>
      <c r="X6" t="s">
        <v>185</v>
      </c>
      <c r="Z6" s="199"/>
      <c r="AA6" s="169"/>
      <c r="AB6" s="198"/>
      <c r="AC6" s="161"/>
      <c r="AD6" s="1"/>
      <c r="AE6" s="163"/>
      <c r="AF6" s="162"/>
      <c r="AG6" s="164"/>
      <c r="AH6" s="168"/>
      <c r="AI6" s="171"/>
      <c r="AJ6" s="176"/>
      <c r="AL6" s="173"/>
      <c r="AM6" s="187"/>
      <c r="AN6" s="158"/>
      <c r="AO6" s="188"/>
      <c r="AP6" s="49"/>
      <c r="AQ6" s="188"/>
      <c r="AR6" s="181"/>
    </row>
    <row r="7" spans="1:90" x14ac:dyDescent="0.25">
      <c r="A7" s="154"/>
      <c r="B7" s="154"/>
      <c r="C7" s="154"/>
      <c r="D7" s="154"/>
      <c r="E7" s="154"/>
      <c r="F7" s="155"/>
      <c r="G7" s="156"/>
      <c r="H7" s="154"/>
    </row>
    <row r="8" spans="1:90" x14ac:dyDescent="0.25">
      <c r="A8" s="154"/>
      <c r="B8" s="154"/>
      <c r="C8" s="154"/>
      <c r="D8" s="154"/>
      <c r="E8" s="154"/>
      <c r="F8" s="155"/>
      <c r="G8" s="156"/>
      <c r="H8" s="154"/>
    </row>
    <row r="9" spans="1:90" x14ac:dyDescent="0.25">
      <c r="A9" s="154"/>
      <c r="B9" s="154"/>
      <c r="C9" s="154"/>
      <c r="D9" s="154"/>
      <c r="E9" s="154"/>
      <c r="F9" s="155"/>
      <c r="G9" s="156"/>
      <c r="H9" s="154"/>
    </row>
    <row r="10" spans="1:90" x14ac:dyDescent="0.25">
      <c r="A10" s="154"/>
      <c r="B10" s="154"/>
      <c r="C10" s="154"/>
      <c r="D10" s="154"/>
      <c r="E10" s="154"/>
      <c r="F10" s="155"/>
      <c r="G10" s="156"/>
      <c r="H10" s="154"/>
    </row>
    <row r="11" spans="1:90" x14ac:dyDescent="0.25">
      <c r="A11" s="154"/>
      <c r="B11" s="154"/>
      <c r="C11" s="154"/>
      <c r="D11" s="154"/>
      <c r="E11" s="154"/>
      <c r="F11" s="155"/>
      <c r="G11" s="156"/>
      <c r="H11" s="154"/>
    </row>
    <row r="12" spans="1:90" x14ac:dyDescent="0.25">
      <c r="A12" s="154"/>
      <c r="B12" s="154"/>
      <c r="C12" s="154"/>
      <c r="D12" s="154"/>
      <c r="E12" s="154"/>
      <c r="F12" s="155"/>
      <c r="G12" s="156"/>
      <c r="H12" s="154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</row>
    <row r="13" spans="1:90" x14ac:dyDescent="0.25">
      <c r="C13" s="154"/>
      <c r="D13" s="154"/>
      <c r="E13" s="154"/>
      <c r="F13" s="155"/>
      <c r="G13" s="156"/>
      <c r="H13" s="154"/>
    </row>
  </sheetData>
  <sortState ref="F2:G14">
    <sortCondition ref="F2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UpdateRHValues.UpdateRHValues">
                <anchor moveWithCells="1" sizeWithCells="1">
                  <from>
                    <xdr:col>11</xdr:col>
                    <xdr:colOff>95250</xdr:colOff>
                    <xdr:row>5</xdr:row>
                    <xdr:rowOff>142875</xdr:rowOff>
                  </from>
                  <to>
                    <xdr:col>13</xdr:col>
                    <xdr:colOff>257175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GA29"/>
  <sheetViews>
    <sheetView showGridLines="0" showRowColHeaders="0" workbookViewId="0">
      <selection activeCell="D21" sqref="D21:G21"/>
    </sheetView>
  </sheetViews>
  <sheetFormatPr defaultColWidth="9.140625" defaultRowHeight="15" x14ac:dyDescent="0.25"/>
  <cols>
    <col min="1" max="1" width="1" customWidth="1"/>
    <col min="2" max="2" width="6.28515625" customWidth="1"/>
    <col min="3" max="3" width="1.28515625" customWidth="1"/>
    <col min="4" max="14" width="9.140625" customWidth="1"/>
    <col min="15" max="15" width="9.28515625" customWidth="1"/>
    <col min="16" max="17" width="9.140625" customWidth="1"/>
    <col min="18" max="18" width="8.28515625" customWidth="1"/>
    <col min="19" max="19" width="9.140625" customWidth="1"/>
    <col min="20" max="20" width="9.28515625" customWidth="1"/>
    <col min="21" max="21" width="2" customWidth="1"/>
    <col min="22" max="22" width="0.85546875" customWidth="1"/>
  </cols>
  <sheetData>
    <row r="1" spans="1:22 15054:15055" ht="5.25" customHeight="1" x14ac:dyDescent="0.25">
      <c r="A1" s="1"/>
      <c r="B1" s="1" t="s">
        <v>2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 15054:15055" ht="15" customHeight="1" x14ac:dyDescent="0.25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6" t="s">
        <v>209</v>
      </c>
      <c r="U2" s="5"/>
      <c r="V2" s="1"/>
      <c r="VFZ2" s="151" t="s">
        <v>162</v>
      </c>
      <c r="VGA2" s="151" t="s">
        <v>163</v>
      </c>
    </row>
    <row r="3" spans="1:22 15054:15055" ht="15" customHeight="1" x14ac:dyDescent="0.25">
      <c r="A3" s="1"/>
      <c r="B3" s="3"/>
      <c r="C3" s="3"/>
      <c r="F3" s="266" t="s">
        <v>1</v>
      </c>
      <c r="G3" s="266"/>
      <c r="H3" s="266"/>
      <c r="I3" s="266"/>
      <c r="J3" s="266"/>
      <c r="K3" s="266"/>
      <c r="L3" s="266"/>
      <c r="M3" s="266"/>
      <c r="N3" s="266"/>
      <c r="O3" s="266"/>
      <c r="P3" s="266"/>
      <c r="Q3" s="266"/>
      <c r="R3" s="266"/>
      <c r="S3" s="3"/>
      <c r="T3" s="3"/>
      <c r="U3" s="3"/>
      <c r="V3" s="1"/>
    </row>
    <row r="4" spans="1:22 15054:15055" ht="15" customHeight="1" x14ac:dyDescent="0.25">
      <c r="A4" s="1"/>
      <c r="B4" s="3"/>
      <c r="C4" s="3"/>
      <c r="F4" s="266"/>
      <c r="G4" s="266"/>
      <c r="H4" s="266"/>
      <c r="I4" s="266"/>
      <c r="J4" s="266"/>
      <c r="K4" s="266"/>
      <c r="L4" s="266"/>
      <c r="M4" s="266"/>
      <c r="N4" s="266"/>
      <c r="O4" s="266"/>
      <c r="P4" s="266"/>
      <c r="Q4" s="266"/>
      <c r="R4" s="266"/>
      <c r="V4" s="1"/>
    </row>
    <row r="5" spans="1:22 15054:15055" ht="10.5" customHeight="1" x14ac:dyDescent="0.25">
      <c r="A5" s="1"/>
      <c r="B5" s="3"/>
      <c r="C5" s="3"/>
      <c r="J5" s="119"/>
      <c r="K5" s="119"/>
      <c r="L5" s="119"/>
      <c r="M5" s="119"/>
      <c r="N5" s="119"/>
      <c r="O5" s="119"/>
      <c r="P5" s="3"/>
      <c r="Q5" s="3"/>
      <c r="R5" s="4"/>
      <c r="S5" s="3"/>
      <c r="T5" s="3"/>
      <c r="U5" s="3"/>
      <c r="V5" s="1"/>
    </row>
    <row r="6" spans="1:22 15054:15055" ht="15" customHeight="1" x14ac:dyDescent="0.25">
      <c r="A6" s="1"/>
      <c r="B6" s="149" t="s">
        <v>160</v>
      </c>
      <c r="C6" s="3"/>
      <c r="J6" s="119"/>
      <c r="K6" s="119"/>
      <c r="L6" s="119"/>
      <c r="M6" s="119"/>
      <c r="N6" s="119"/>
      <c r="O6" s="119"/>
      <c r="P6" s="3"/>
      <c r="Q6" s="3"/>
      <c r="R6" s="4"/>
      <c r="S6" s="3"/>
      <c r="T6" s="3"/>
      <c r="U6" s="3"/>
      <c r="V6" s="1"/>
    </row>
    <row r="7" spans="1:22 15054:15055" ht="3.95" customHeight="1" x14ac:dyDescent="0.25">
      <c r="A7" s="1"/>
      <c r="B7" s="121"/>
      <c r="C7" s="121"/>
      <c r="D7" s="1"/>
      <c r="E7" s="1"/>
      <c r="F7" s="1"/>
      <c r="G7" s="1"/>
      <c r="H7" s="1"/>
      <c r="I7" s="1"/>
      <c r="J7" s="122"/>
      <c r="K7" s="122"/>
      <c r="L7" s="122"/>
      <c r="M7" s="122"/>
      <c r="N7" s="122"/>
      <c r="O7" s="122"/>
      <c r="P7" s="121"/>
      <c r="Q7" s="121"/>
      <c r="R7" s="123"/>
      <c r="S7" s="121"/>
      <c r="T7" s="121"/>
      <c r="U7" s="121"/>
      <c r="V7" s="1"/>
    </row>
    <row r="8" spans="1:22 15054:15055" ht="15" customHeight="1" x14ac:dyDescent="0.25">
      <c r="A8" s="1"/>
      <c r="V8" s="1"/>
    </row>
    <row r="9" spans="1:22 15054:15055" ht="15" customHeight="1" x14ac:dyDescent="0.3">
      <c r="A9" s="1"/>
      <c r="B9">
        <v>1</v>
      </c>
      <c r="C9" s="197">
        <v>1</v>
      </c>
      <c r="D9" s="260" t="s">
        <v>231</v>
      </c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148"/>
      <c r="Q9" s="148"/>
      <c r="R9" s="148"/>
      <c r="S9" s="148"/>
      <c r="T9" s="148"/>
      <c r="U9" s="148"/>
      <c r="V9" s="1"/>
    </row>
    <row r="10" spans="1:22 15054:15055" ht="15" customHeight="1" x14ac:dyDescent="0.25">
      <c r="A10" s="1"/>
      <c r="D10" s="267" t="s">
        <v>158</v>
      </c>
      <c r="E10" s="268"/>
      <c r="F10" s="268"/>
      <c r="G10" s="268"/>
      <c r="H10" s="268"/>
      <c r="V10" s="1"/>
    </row>
    <row r="11" spans="1:22 15054:15055" ht="15" customHeight="1" x14ac:dyDescent="0.25">
      <c r="A11" s="1"/>
      <c r="V11" s="1"/>
    </row>
    <row r="12" spans="1:22 15054:15055" ht="15" customHeight="1" x14ac:dyDescent="0.3">
      <c r="A12" s="1"/>
      <c r="B12">
        <v>2</v>
      </c>
      <c r="D12" s="150" t="s">
        <v>208</v>
      </c>
      <c r="V12" s="1"/>
    </row>
    <row r="13" spans="1:22 15054:15055" ht="15" customHeight="1" x14ac:dyDescent="0.25">
      <c r="A13" s="1"/>
      <c r="V13" s="1"/>
    </row>
    <row r="14" spans="1:22 15054:15055" ht="15" customHeight="1" x14ac:dyDescent="0.25">
      <c r="A14" s="1"/>
      <c r="V14" s="1"/>
    </row>
    <row r="15" spans="1:22 15054:15055" ht="15" customHeight="1" x14ac:dyDescent="0.25">
      <c r="A15" s="1"/>
      <c r="V15" s="1"/>
    </row>
    <row r="16" spans="1:22 15054:15055" ht="15" customHeight="1" x14ac:dyDescent="0.25">
      <c r="A16" s="1"/>
      <c r="V16" s="1"/>
    </row>
    <row r="17" spans="1:22" ht="15" customHeight="1" x14ac:dyDescent="0.25">
      <c r="A17" s="1"/>
      <c r="V17" s="1"/>
    </row>
    <row r="18" spans="1:22" ht="15" customHeight="1" x14ac:dyDescent="0.25">
      <c r="A18" s="1"/>
      <c r="V18" s="1"/>
    </row>
    <row r="19" spans="1:22" ht="15" customHeight="1" x14ac:dyDescent="0.25">
      <c r="A19" s="1"/>
      <c r="V19" s="1"/>
    </row>
    <row r="20" spans="1:22" ht="15" customHeight="1" x14ac:dyDescent="0.25">
      <c r="A20" s="1"/>
      <c r="V20" s="1"/>
    </row>
    <row r="21" spans="1:22" ht="15" customHeight="1" x14ac:dyDescent="0.25">
      <c r="A21" s="1"/>
      <c r="D21" s="267" t="s">
        <v>0</v>
      </c>
      <c r="E21" s="268"/>
      <c r="F21" s="268"/>
      <c r="G21" s="268"/>
      <c r="V21" s="1"/>
    </row>
    <row r="22" spans="1:22" ht="15" customHeight="1" x14ac:dyDescent="0.25">
      <c r="A22" s="1"/>
      <c r="V22" s="1"/>
    </row>
    <row r="23" spans="1:22" ht="3.7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</row>
    <row r="24" spans="1:22" ht="15" customHeight="1" x14ac:dyDescent="0.25"/>
    <row r="29" spans="1:22" x14ac:dyDescent="0.25">
      <c r="G29" s="118"/>
    </row>
  </sheetData>
  <sheetProtection formatCells="0" formatColumns="0" formatRows="0" insertHyperlinks="0" selectLockedCells="1" autoFilter="0" selectUnlockedCells="1"/>
  <mergeCells count="3">
    <mergeCell ref="F3:R4"/>
    <mergeCell ref="D10:H10"/>
    <mergeCell ref="D21:G21"/>
  </mergeCells>
  <hyperlinks>
    <hyperlink ref="F3:R4" r:id="rId1" display="QUICK GUIDE"/>
    <hyperlink ref="D10" r:id="rId2" tooltip="Enable Macros"/>
    <hyperlink ref="D21" r:id="rId3" tooltip="Click Here For Documentation"/>
  </hyperlinks>
  <pageMargins left="0.7" right="0.7" top="0.75" bottom="0.75" header="0.3" footer="0.3"/>
  <pageSetup paperSize="9" orientation="portrait" r:id="rId4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VGC11"/>
  <sheetViews>
    <sheetView showGridLines="0" showRowColHeaders="0" tabSelected="1" topLeftCell="G6" zoomScaleNormal="100" workbookViewId="0">
      <selection activeCell="Q10" sqref="Q10"/>
    </sheetView>
  </sheetViews>
  <sheetFormatPr defaultColWidth="0" defaultRowHeight="16.350000000000001" customHeight="1" x14ac:dyDescent="0.25"/>
  <cols>
    <col min="1" max="6" width="16.140625" hidden="1" customWidth="1"/>
    <col min="7" max="7" width="5.7109375" style="7" customWidth="1"/>
    <col min="8" max="8" width="40.7109375" style="7" customWidth="1"/>
    <col min="9" max="9" width="16.7109375" style="7" customWidth="1"/>
    <col min="10" max="13" width="15.140625" style="7" hidden="1" customWidth="1"/>
    <col min="14" max="15" width="14.7109375" style="203" customWidth="1"/>
    <col min="16" max="17" width="8.7109375" style="7" customWidth="1"/>
    <col min="18" max="28" width="0" style="7" hidden="1"/>
    <col min="29" max="84" width="2.7109375" customWidth="1"/>
  </cols>
  <sheetData>
    <row r="1" spans="1:2129 15008:15057" s="50" customFormat="1" ht="12.75" hidden="1" customHeight="1" x14ac:dyDescent="0.25">
      <c r="A1" s="50" t="s">
        <v>21</v>
      </c>
      <c r="B1" s="50" t="s">
        <v>76</v>
      </c>
      <c r="C1" t="s">
        <v>75</v>
      </c>
      <c r="D1" s="50" t="s">
        <v>74</v>
      </c>
      <c r="E1" s="50" t="s">
        <v>73</v>
      </c>
      <c r="F1" s="50" t="s">
        <v>72</v>
      </c>
      <c r="G1" s="84" t="s">
        <v>48</v>
      </c>
      <c r="H1" s="83" t="s">
        <v>47</v>
      </c>
      <c r="I1" s="82" t="s">
        <v>46</v>
      </c>
      <c r="J1" s="80" t="s">
        <v>45</v>
      </c>
      <c r="K1" s="82" t="s">
        <v>44</v>
      </c>
      <c r="L1" s="81" t="s">
        <v>43</v>
      </c>
      <c r="M1" s="80" t="s">
        <v>42</v>
      </c>
      <c r="N1" s="124" t="s">
        <v>41</v>
      </c>
      <c r="O1" s="124" t="s">
        <v>39</v>
      </c>
      <c r="P1" s="133" t="s">
        <v>37</v>
      </c>
      <c r="Q1" s="127" t="s">
        <v>36</v>
      </c>
      <c r="R1" s="81" t="s">
        <v>40</v>
      </c>
      <c r="S1" s="81" t="s">
        <v>38</v>
      </c>
      <c r="T1" s="80" t="s">
        <v>35</v>
      </c>
      <c r="U1" s="139" t="s">
        <v>34</v>
      </c>
      <c r="V1" s="139" t="s">
        <v>33</v>
      </c>
      <c r="W1" s="139" t="s">
        <v>32</v>
      </c>
      <c r="X1" s="79" t="s">
        <v>31</v>
      </c>
      <c r="Y1" s="38" t="s">
        <v>124</v>
      </c>
      <c r="Z1" s="38" t="s">
        <v>123</v>
      </c>
      <c r="AA1" s="38" t="s">
        <v>149</v>
      </c>
      <c r="AB1" s="38" t="s">
        <v>150</v>
      </c>
      <c r="AC1" s="52" t="s">
        <v>122</v>
      </c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52"/>
      <c r="AX1" s="52"/>
      <c r="AY1" s="52"/>
      <c r="AZ1" s="52"/>
      <c r="BA1" s="52"/>
      <c r="BB1" s="52"/>
      <c r="BC1" s="52"/>
      <c r="BD1" s="52"/>
      <c r="BE1" s="52"/>
      <c r="BF1" s="52"/>
      <c r="BG1" s="52"/>
      <c r="BH1" s="52"/>
      <c r="BI1" s="52"/>
      <c r="BJ1" s="52"/>
      <c r="BK1" s="52"/>
      <c r="BL1" s="52"/>
      <c r="BM1" s="52"/>
      <c r="BN1" s="52"/>
      <c r="BO1" s="52"/>
      <c r="BP1" s="52"/>
      <c r="BQ1" s="52"/>
      <c r="BR1" s="52"/>
      <c r="BS1" s="52"/>
      <c r="BT1" s="52"/>
      <c r="BU1" s="52"/>
      <c r="BV1" s="52"/>
      <c r="BW1" s="52"/>
      <c r="BX1" s="52"/>
      <c r="BY1" s="52"/>
      <c r="BZ1" s="52"/>
      <c r="CA1" s="52"/>
      <c r="CB1" s="52"/>
      <c r="CC1" s="52"/>
      <c r="CD1" s="52"/>
      <c r="CE1" s="52"/>
      <c r="CF1" s="52" t="s">
        <v>121</v>
      </c>
      <c r="CG1" s="51"/>
      <c r="CCW1" s="50" t="s">
        <v>120</v>
      </c>
      <c r="VEF1" s="50" t="s">
        <v>119</v>
      </c>
      <c r="VEG1" s="50" t="s">
        <v>7</v>
      </c>
      <c r="VEH1" s="50" t="s">
        <v>9</v>
      </c>
      <c r="VEI1" s="50" t="s">
        <v>118</v>
      </c>
      <c r="VEJ1" s="50" t="s">
        <v>117</v>
      </c>
      <c r="VEK1" s="50" t="s">
        <v>159</v>
      </c>
      <c r="VEL1" s="50" t="s">
        <v>151</v>
      </c>
      <c r="VEM1" s="50" t="s">
        <v>152</v>
      </c>
      <c r="VEN1" s="50" t="s">
        <v>116</v>
      </c>
      <c r="VEO1" s="50" t="s">
        <v>115</v>
      </c>
      <c r="VEP1" s="50" t="s">
        <v>114</v>
      </c>
      <c r="VEQ1" s="50" t="s">
        <v>113</v>
      </c>
      <c r="VER1" s="50" t="s">
        <v>112</v>
      </c>
      <c r="VES1" s="50" t="s">
        <v>111</v>
      </c>
      <c r="VET1" s="50" t="s">
        <v>110</v>
      </c>
      <c r="VEU1" s="50" t="s">
        <v>109</v>
      </c>
      <c r="VEV1" s="50" t="s">
        <v>108</v>
      </c>
      <c r="VEW1" s="50" t="s">
        <v>107</v>
      </c>
      <c r="VEX1" s="50" t="s">
        <v>106</v>
      </c>
      <c r="VEY1" s="50" t="s">
        <v>105</v>
      </c>
      <c r="VEZ1" s="50" t="s">
        <v>104</v>
      </c>
      <c r="VFA1" s="50" t="s">
        <v>103</v>
      </c>
      <c r="VFB1" s="50" t="s">
        <v>102</v>
      </c>
      <c r="VFC1" s="50" t="s">
        <v>145</v>
      </c>
      <c r="VFD1" s="50" t="s">
        <v>101</v>
      </c>
      <c r="VFE1" s="50" t="s">
        <v>100</v>
      </c>
      <c r="VFF1" s="50" t="s">
        <v>99</v>
      </c>
      <c r="VFG1" s="50" t="s">
        <v>98</v>
      </c>
      <c r="VFH1" s="50" t="s">
        <v>97</v>
      </c>
      <c r="VFI1" s="50" t="s">
        <v>96</v>
      </c>
      <c r="VFJ1" s="50" t="s">
        <v>95</v>
      </c>
      <c r="VFK1" s="50" t="s">
        <v>94</v>
      </c>
      <c r="VFL1" s="50" t="s">
        <v>93</v>
      </c>
      <c r="VFM1" s="50" t="s">
        <v>92</v>
      </c>
      <c r="VFN1" s="50" t="s">
        <v>91</v>
      </c>
      <c r="VFO1" s="50" t="s">
        <v>90</v>
      </c>
      <c r="VFP1" s="50" t="s">
        <v>89</v>
      </c>
      <c r="VFQ1" s="50" t="s">
        <v>88</v>
      </c>
      <c r="VFR1" s="50" t="s">
        <v>87</v>
      </c>
      <c r="VFS1" s="50" t="s">
        <v>86</v>
      </c>
      <c r="VFT1" s="50" t="s">
        <v>85</v>
      </c>
      <c r="VFU1" s="50" t="s">
        <v>84</v>
      </c>
      <c r="VFV1" s="50" t="s">
        <v>83</v>
      </c>
      <c r="VFW1" s="50" t="s">
        <v>82</v>
      </c>
      <c r="VFX1" s="50" t="s">
        <v>136</v>
      </c>
      <c r="VFY1" s="50" t="s">
        <v>144</v>
      </c>
      <c r="VFZ1" s="50" t="s">
        <v>154</v>
      </c>
      <c r="VGA1" s="50" t="s">
        <v>155</v>
      </c>
      <c r="VGB1" s="50" t="s">
        <v>161</v>
      </c>
      <c r="VGC1" s="50" t="s">
        <v>192</v>
      </c>
    </row>
    <row r="2" spans="1:2129 15008:15057" s="50" customFormat="1" ht="12.75" hidden="1" customHeight="1" x14ac:dyDescent="0.2">
      <c r="A2" s="89" t="s">
        <v>81</v>
      </c>
      <c r="B2" s="89" t="s">
        <v>81</v>
      </c>
      <c r="C2" s="89" t="s">
        <v>81</v>
      </c>
      <c r="D2" s="89" t="s">
        <v>81</v>
      </c>
      <c r="E2" s="89" t="s">
        <v>81</v>
      </c>
      <c r="F2" s="89" t="s">
        <v>81</v>
      </c>
      <c r="G2" s="84" t="s">
        <v>81</v>
      </c>
      <c r="H2" s="83" t="s">
        <v>81</v>
      </c>
      <c r="I2" s="82" t="s">
        <v>81</v>
      </c>
      <c r="J2" s="80" t="s">
        <v>81</v>
      </c>
      <c r="K2" s="82" t="s">
        <v>81</v>
      </c>
      <c r="L2" s="81" t="s">
        <v>81</v>
      </c>
      <c r="M2" s="80" t="s">
        <v>81</v>
      </c>
      <c r="N2" s="124" t="s">
        <v>81</v>
      </c>
      <c r="O2" s="124" t="s">
        <v>81</v>
      </c>
      <c r="P2" s="133" t="s">
        <v>81</v>
      </c>
      <c r="Q2" s="128" t="s">
        <v>81</v>
      </c>
      <c r="R2" s="81" t="s">
        <v>81</v>
      </c>
      <c r="S2" s="81" t="s">
        <v>81</v>
      </c>
      <c r="T2" s="80" t="s">
        <v>81</v>
      </c>
      <c r="U2" s="133" t="s">
        <v>81</v>
      </c>
      <c r="V2" s="133" t="s">
        <v>81</v>
      </c>
      <c r="W2" s="133" t="s">
        <v>81</v>
      </c>
      <c r="X2" s="88" t="s">
        <v>81</v>
      </c>
      <c r="Y2" s="115" t="s">
        <v>81</v>
      </c>
      <c r="Z2" s="115" t="s">
        <v>81</v>
      </c>
      <c r="AA2" s="115" t="s">
        <v>81</v>
      </c>
      <c r="AB2" s="115" t="s">
        <v>81</v>
      </c>
      <c r="AC2" s="52"/>
      <c r="AD2" s="52"/>
      <c r="AE2" s="52"/>
      <c r="AF2" s="52"/>
      <c r="AG2" s="52"/>
      <c r="AH2" s="52"/>
      <c r="AI2" s="52"/>
      <c r="AJ2" s="52"/>
      <c r="AK2" s="52"/>
      <c r="AL2" s="52"/>
      <c r="AM2" s="52"/>
      <c r="AN2" s="52"/>
      <c r="AO2" s="52"/>
      <c r="AP2" s="52"/>
      <c r="AQ2" s="52"/>
      <c r="AR2" s="52"/>
      <c r="AS2" s="52"/>
      <c r="AT2" s="52"/>
      <c r="AU2" s="52"/>
      <c r="AV2" s="52"/>
      <c r="AW2" s="52"/>
      <c r="AX2" s="52"/>
      <c r="AY2" s="52"/>
      <c r="AZ2" s="52"/>
      <c r="BA2" s="52"/>
      <c r="BB2" s="52"/>
      <c r="BC2" s="52"/>
      <c r="BD2" s="52"/>
      <c r="BE2" s="52"/>
      <c r="BF2" s="52"/>
      <c r="BG2" s="52"/>
      <c r="BH2" s="52"/>
      <c r="BI2" s="52"/>
      <c r="BJ2" s="52"/>
      <c r="BK2" s="52"/>
      <c r="BL2" s="52"/>
      <c r="BM2" s="52"/>
      <c r="BN2" s="52"/>
      <c r="BO2" s="52"/>
      <c r="BP2" s="52"/>
      <c r="BQ2" s="52"/>
      <c r="BR2" s="52"/>
      <c r="BS2" s="52"/>
      <c r="BT2" s="52"/>
      <c r="BU2" s="52"/>
      <c r="BV2" s="52"/>
      <c r="BW2" s="52"/>
      <c r="BX2" s="52"/>
      <c r="BY2" s="52"/>
      <c r="BZ2" s="52"/>
      <c r="CA2" s="52"/>
      <c r="CB2" s="52"/>
      <c r="CC2" s="52"/>
      <c r="CD2" s="52"/>
      <c r="CE2" s="52"/>
      <c r="CF2" s="52"/>
      <c r="CG2" s="51"/>
      <c r="VEF2" s="86" t="b">
        <v>1</v>
      </c>
      <c r="VEG2" s="86">
        <v>0</v>
      </c>
      <c r="VEH2" s="86">
        <v>0</v>
      </c>
      <c r="VEI2" s="86"/>
      <c r="VEJ2" s="86">
        <v>0</v>
      </c>
      <c r="VEK2" s="86">
        <v>0</v>
      </c>
      <c r="VEL2" s="86">
        <v>0</v>
      </c>
      <c r="VEM2" s="86">
        <v>0</v>
      </c>
      <c r="VEN2" s="86" t="s">
        <v>11</v>
      </c>
      <c r="VEO2" s="86">
        <v>1</v>
      </c>
      <c r="VEP2" s="86" t="s">
        <v>80</v>
      </c>
      <c r="VEQ2" s="86">
        <v>1</v>
      </c>
      <c r="VER2" s="86">
        <v>1</v>
      </c>
      <c r="VES2" s="86">
        <v>1</v>
      </c>
      <c r="VET2" s="86">
        <v>1</v>
      </c>
      <c r="VEU2" s="86"/>
      <c r="VEV2" s="86">
        <v>1</v>
      </c>
      <c r="VEW2" s="86">
        <v>1</v>
      </c>
      <c r="VEX2" s="86">
        <v>1</v>
      </c>
      <c r="VEY2" s="86">
        <v>1</v>
      </c>
      <c r="VEZ2" s="86">
        <v>1</v>
      </c>
      <c r="VFA2" s="86"/>
      <c r="VFB2" s="86">
        <v>1</v>
      </c>
      <c r="VFC2" s="50" t="s">
        <v>146</v>
      </c>
      <c r="VFD2" s="86">
        <v>1</v>
      </c>
      <c r="VFE2" s="87">
        <v>16</v>
      </c>
      <c r="VFF2" s="86">
        <v>1</v>
      </c>
      <c r="VFG2" s="50">
        <v>1</v>
      </c>
      <c r="VFH2" s="50">
        <v>1</v>
      </c>
      <c r="VFI2" s="50" t="s">
        <v>213</v>
      </c>
      <c r="VFJ2" s="50">
        <v>0</v>
      </c>
      <c r="VFK2" s="50" t="s">
        <v>79</v>
      </c>
      <c r="VFL2" s="50">
        <v>1</v>
      </c>
      <c r="VFM2" s="50">
        <v>0</v>
      </c>
      <c r="VFN2" s="85" t="s">
        <v>232</v>
      </c>
      <c r="VFO2" s="85" t="s">
        <v>234</v>
      </c>
      <c r="VFP2" s="85" t="s">
        <v>214</v>
      </c>
      <c r="VFR2" s="50">
        <v>25</v>
      </c>
      <c r="VFS2" s="50">
        <v>10</v>
      </c>
      <c r="VFT2" s="50" t="s">
        <v>47</v>
      </c>
      <c r="VFU2" s="50">
        <v>0</v>
      </c>
      <c r="VFV2" s="50">
        <v>0</v>
      </c>
      <c r="VFW2" s="50">
        <v>0</v>
      </c>
      <c r="VFX2" s="60" t="s">
        <v>215</v>
      </c>
      <c r="VFY2" s="50" t="s">
        <v>216</v>
      </c>
      <c r="VFZ2" s="50" t="s">
        <v>156</v>
      </c>
      <c r="VGA2" s="50" t="s">
        <v>157</v>
      </c>
      <c r="VGB2" s="147"/>
      <c r="VGC2" s="50" t="s">
        <v>217</v>
      </c>
    </row>
    <row r="3" spans="1:2129 15008:15057" s="50" customFormat="1" ht="12.75" hidden="1" customHeight="1" x14ac:dyDescent="0.2">
      <c r="A3" s="86"/>
      <c r="G3" s="84"/>
      <c r="H3" s="83"/>
      <c r="I3" s="82"/>
      <c r="J3" s="80"/>
      <c r="K3" s="82"/>
      <c r="L3" s="81"/>
      <c r="M3" s="80"/>
      <c r="N3" s="124"/>
      <c r="O3" s="124"/>
      <c r="P3" s="133"/>
      <c r="Q3" s="127"/>
      <c r="R3" s="81"/>
      <c r="S3" s="81"/>
      <c r="T3" s="80"/>
      <c r="U3" s="139"/>
      <c r="V3" s="139"/>
      <c r="W3" s="139"/>
      <c r="X3" s="79"/>
      <c r="Y3" s="38"/>
      <c r="Z3" s="38"/>
      <c r="AA3" s="38"/>
      <c r="AB3" s="38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1"/>
    </row>
    <row r="4" spans="1:2129 15008:15057" s="50" customFormat="1" ht="12.75" hidden="1" customHeight="1" x14ac:dyDescent="0.2">
      <c r="G4" s="84"/>
      <c r="H4" s="83"/>
      <c r="I4" s="82"/>
      <c r="J4" s="80"/>
      <c r="K4" s="82"/>
      <c r="L4" s="81"/>
      <c r="M4" s="80"/>
      <c r="N4" s="124"/>
      <c r="O4" s="124"/>
      <c r="P4" s="133"/>
      <c r="Q4" s="127"/>
      <c r="R4" s="81"/>
      <c r="S4" s="81"/>
      <c r="T4" s="80"/>
      <c r="U4" s="139"/>
      <c r="V4" s="139"/>
      <c r="W4" s="139"/>
      <c r="X4" s="79"/>
      <c r="Y4" s="38"/>
      <c r="Z4" s="38"/>
      <c r="AA4" s="38"/>
      <c r="AB4" s="38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  <c r="CG4" s="51"/>
    </row>
    <row r="5" spans="1:2129 15008:15057" s="50" customFormat="1" ht="12.75" hidden="1" customHeight="1" x14ac:dyDescent="0.2">
      <c r="G5" s="84"/>
      <c r="H5" s="83"/>
      <c r="I5" s="82"/>
      <c r="J5" s="80"/>
      <c r="K5" s="82"/>
      <c r="L5" s="81"/>
      <c r="M5" s="80"/>
      <c r="N5" s="124"/>
      <c r="O5" s="124"/>
      <c r="P5" s="133"/>
      <c r="Q5" s="127"/>
      <c r="R5" s="81"/>
      <c r="S5" s="81"/>
      <c r="T5" s="80"/>
      <c r="U5" s="139"/>
      <c r="V5" s="139"/>
      <c r="W5" s="139"/>
      <c r="X5" s="79"/>
      <c r="Y5" s="38"/>
      <c r="Z5" s="38"/>
      <c r="AA5" s="38"/>
      <c r="AB5" s="38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1"/>
    </row>
    <row r="6" spans="1:2129 15008:15057" ht="27" customHeight="1" x14ac:dyDescent="0.25">
      <c r="A6" s="50"/>
      <c r="B6" s="50"/>
      <c r="C6" s="50"/>
      <c r="D6" s="50"/>
      <c r="E6" s="50"/>
      <c r="F6" s="50"/>
      <c r="G6" s="237" t="s">
        <v>235</v>
      </c>
      <c r="H6" s="238"/>
      <c r="I6" s="238"/>
      <c r="J6" s="239"/>
      <c r="K6" s="238"/>
      <c r="L6" s="238"/>
      <c r="M6" s="239"/>
      <c r="N6" s="240"/>
      <c r="O6" s="240"/>
      <c r="P6" s="241"/>
      <c r="Q6" s="242"/>
      <c r="R6" s="238"/>
      <c r="S6" s="238"/>
      <c r="T6" s="239"/>
      <c r="U6" s="241"/>
      <c r="V6" s="241"/>
      <c r="W6" s="241"/>
      <c r="X6" s="238"/>
      <c r="Y6" s="238"/>
      <c r="Z6" s="238"/>
      <c r="AA6" s="238"/>
      <c r="AB6" s="238"/>
      <c r="AC6" s="269">
        <v>43521</v>
      </c>
      <c r="AD6" s="269">
        <v>43522</v>
      </c>
      <c r="AE6" s="269">
        <v>43523</v>
      </c>
      <c r="AF6" s="269">
        <v>43524</v>
      </c>
      <c r="AG6" s="269">
        <v>43525</v>
      </c>
      <c r="AH6" s="269">
        <v>43526</v>
      </c>
      <c r="AI6" s="269">
        <v>43527</v>
      </c>
      <c r="AJ6" s="269">
        <v>43528</v>
      </c>
      <c r="AK6" s="269">
        <v>43529</v>
      </c>
      <c r="AL6" s="269">
        <v>43530</v>
      </c>
      <c r="AM6" s="269">
        <v>43531</v>
      </c>
      <c r="AN6" s="269">
        <v>43532</v>
      </c>
      <c r="AO6" s="269">
        <v>43533</v>
      </c>
      <c r="AP6" s="269">
        <v>43534</v>
      </c>
      <c r="AQ6" s="269">
        <v>43535</v>
      </c>
      <c r="AR6" s="269">
        <v>43536</v>
      </c>
      <c r="AS6" s="269">
        <v>43537</v>
      </c>
      <c r="AT6" s="269">
        <v>43538</v>
      </c>
      <c r="AU6" s="269">
        <v>43539</v>
      </c>
      <c r="AV6" s="269">
        <v>43540</v>
      </c>
      <c r="AW6" s="269">
        <v>43541</v>
      </c>
      <c r="AX6" s="269">
        <v>43542</v>
      </c>
      <c r="AY6" s="269">
        <v>43543</v>
      </c>
      <c r="AZ6" s="269">
        <v>43544</v>
      </c>
      <c r="BA6" s="269">
        <v>43545</v>
      </c>
      <c r="BB6" s="269">
        <v>43546</v>
      </c>
      <c r="BC6" s="269">
        <v>43547</v>
      </c>
      <c r="BD6" s="269">
        <v>43548</v>
      </c>
      <c r="BE6" s="269">
        <v>43549</v>
      </c>
      <c r="BF6" s="269">
        <v>43550</v>
      </c>
      <c r="BG6" s="269">
        <v>43551</v>
      </c>
      <c r="BH6" s="269">
        <v>43552</v>
      </c>
      <c r="BI6" s="269">
        <v>43553</v>
      </c>
      <c r="BJ6" s="269">
        <v>43554</v>
      </c>
      <c r="BK6" s="269">
        <v>43555</v>
      </c>
      <c r="BL6" s="269">
        <v>43556</v>
      </c>
      <c r="BM6" s="269">
        <v>43557</v>
      </c>
      <c r="BN6" s="269">
        <v>43558</v>
      </c>
      <c r="BO6" s="269">
        <v>43559</v>
      </c>
      <c r="BP6" s="269">
        <v>43560</v>
      </c>
      <c r="BQ6" s="269">
        <v>43561</v>
      </c>
      <c r="BR6" s="269">
        <v>43562</v>
      </c>
      <c r="BS6" s="269">
        <v>43563</v>
      </c>
      <c r="BT6" s="269">
        <v>43564</v>
      </c>
      <c r="BU6" s="269">
        <v>43565</v>
      </c>
      <c r="BV6" s="269">
        <v>43566</v>
      </c>
      <c r="BW6" s="269">
        <v>43567</v>
      </c>
      <c r="BX6" s="269">
        <v>43568</v>
      </c>
      <c r="BY6" s="269">
        <v>43569</v>
      </c>
      <c r="BZ6" s="269">
        <v>43570</v>
      </c>
      <c r="CA6" s="269">
        <v>43571</v>
      </c>
      <c r="CB6" s="269">
        <v>43572</v>
      </c>
      <c r="CC6" s="269">
        <v>43573</v>
      </c>
      <c r="CD6" s="269">
        <v>43574</v>
      </c>
      <c r="CE6" s="269">
        <v>43575</v>
      </c>
      <c r="CF6" s="269">
        <v>43576</v>
      </c>
      <c r="CG6" s="270">
        <v>43577</v>
      </c>
    </row>
    <row r="7" spans="1:2129 15008:15057" ht="14.1" customHeight="1" x14ac:dyDescent="0.25">
      <c r="A7" s="204"/>
      <c r="B7" s="204"/>
      <c r="C7" s="204"/>
      <c r="D7" s="204"/>
      <c r="E7" s="204"/>
      <c r="F7" s="204"/>
      <c r="G7" s="205" t="s">
        <v>218</v>
      </c>
      <c r="H7" s="206"/>
      <c r="I7" s="207"/>
      <c r="J7" s="208"/>
      <c r="K7" s="207"/>
      <c r="L7" s="209"/>
      <c r="M7" s="210"/>
      <c r="N7" s="211"/>
      <c r="O7" s="211"/>
      <c r="P7" s="212"/>
      <c r="Q7" s="213"/>
      <c r="R7" s="209"/>
      <c r="S7" s="209"/>
      <c r="T7" s="210"/>
      <c r="U7" s="214"/>
      <c r="V7" s="214"/>
      <c r="W7" s="214"/>
      <c r="X7" s="215"/>
      <c r="Y7" s="215"/>
      <c r="Z7" s="215"/>
      <c r="AA7" s="215"/>
      <c r="AB7" s="215"/>
      <c r="AC7" s="255" t="s">
        <v>224</v>
      </c>
      <c r="AD7" s="255"/>
      <c r="AE7" s="255"/>
      <c r="AF7" s="255"/>
      <c r="AG7" s="255"/>
      <c r="AH7" s="255"/>
      <c r="AI7" s="255"/>
      <c r="AJ7" s="256" t="s">
        <v>225</v>
      </c>
      <c r="AK7" s="256"/>
      <c r="AL7" s="256"/>
      <c r="AM7" s="256"/>
      <c r="AN7" s="256"/>
      <c r="AO7" s="256"/>
      <c r="AP7" s="256"/>
      <c r="AQ7" s="255" t="s">
        <v>226</v>
      </c>
      <c r="AR7" s="255"/>
      <c r="AS7" s="255"/>
      <c r="AT7" s="255"/>
      <c r="AU7" s="255"/>
      <c r="AV7" s="255"/>
      <c r="AW7" s="255"/>
      <c r="AX7" s="256" t="s">
        <v>227</v>
      </c>
      <c r="AY7" s="256"/>
      <c r="AZ7" s="256"/>
      <c r="BA7" s="256"/>
      <c r="BB7" s="256"/>
      <c r="BC7" s="256"/>
      <c r="BD7" s="256"/>
      <c r="BE7" s="255" t="s">
        <v>228</v>
      </c>
      <c r="BF7" s="255"/>
      <c r="BG7" s="255"/>
      <c r="BH7" s="255"/>
      <c r="BI7" s="255"/>
      <c r="BJ7" s="255"/>
      <c r="BK7" s="255"/>
      <c r="BL7" s="256" t="s">
        <v>229</v>
      </c>
      <c r="BM7" s="256"/>
      <c r="BN7" s="256"/>
      <c r="BO7" s="256"/>
      <c r="BP7" s="256"/>
      <c r="BQ7" s="256"/>
      <c r="BR7" s="256"/>
      <c r="BS7" s="255" t="s">
        <v>237</v>
      </c>
      <c r="BT7" s="255"/>
      <c r="BU7" s="255"/>
      <c r="BV7" s="255"/>
      <c r="BW7" s="255"/>
      <c r="BX7" s="255"/>
      <c r="BY7" s="255"/>
      <c r="BZ7" s="256" t="s">
        <v>238</v>
      </c>
      <c r="CA7" s="256"/>
      <c r="CB7" s="256"/>
      <c r="CC7" s="256"/>
      <c r="CD7" s="256"/>
      <c r="CE7" s="256"/>
      <c r="CF7" s="256"/>
    </row>
    <row r="8" spans="1:2129 15008:15057" ht="14.1" customHeight="1" x14ac:dyDescent="0.25">
      <c r="A8" s="204"/>
      <c r="B8" s="204"/>
      <c r="C8" s="204"/>
      <c r="D8" s="204"/>
      <c r="E8" s="204"/>
      <c r="F8" s="204"/>
      <c r="G8" s="217" t="s">
        <v>219</v>
      </c>
      <c r="H8" s="218"/>
      <c r="I8" s="218"/>
      <c r="J8" s="219"/>
      <c r="K8" s="218"/>
      <c r="L8" s="218"/>
      <c r="M8" s="219"/>
      <c r="N8" s="220"/>
      <c r="O8" s="220"/>
      <c r="P8" s="221"/>
      <c r="Q8" s="222"/>
      <c r="R8" s="218"/>
      <c r="S8" s="218"/>
      <c r="T8" s="219"/>
      <c r="U8" s="221"/>
      <c r="V8" s="221"/>
      <c r="W8" s="221"/>
      <c r="X8" s="218"/>
      <c r="Y8" s="218"/>
      <c r="Z8" s="218"/>
      <c r="AA8" s="218"/>
      <c r="AB8" s="253"/>
      <c r="AC8" s="257">
        <v>25</v>
      </c>
      <c r="AD8" s="257">
        <v>26</v>
      </c>
      <c r="AE8" s="257">
        <v>27</v>
      </c>
      <c r="AF8" s="257">
        <v>28</v>
      </c>
      <c r="AG8" s="257">
        <v>1</v>
      </c>
      <c r="AH8" s="257">
        <v>2</v>
      </c>
      <c r="AI8" s="257">
        <v>3</v>
      </c>
      <c r="AJ8" s="257">
        <v>4</v>
      </c>
      <c r="AK8" s="257">
        <v>5</v>
      </c>
      <c r="AL8" s="257">
        <v>6</v>
      </c>
      <c r="AM8" s="257">
        <v>7</v>
      </c>
      <c r="AN8" s="257">
        <v>8</v>
      </c>
      <c r="AO8" s="257">
        <v>9</v>
      </c>
      <c r="AP8" s="257">
        <v>10</v>
      </c>
      <c r="AQ8" s="257">
        <v>11</v>
      </c>
      <c r="AR8" s="257">
        <v>12</v>
      </c>
      <c r="AS8" s="257">
        <v>13</v>
      </c>
      <c r="AT8" s="257">
        <v>14</v>
      </c>
      <c r="AU8" s="257">
        <v>15</v>
      </c>
      <c r="AV8" s="257">
        <v>16</v>
      </c>
      <c r="AW8" s="257">
        <v>17</v>
      </c>
      <c r="AX8" s="257">
        <v>18</v>
      </c>
      <c r="AY8" s="257">
        <v>19</v>
      </c>
      <c r="AZ8" s="257">
        <v>20</v>
      </c>
      <c r="BA8" s="257">
        <v>21</v>
      </c>
      <c r="BB8" s="257">
        <v>22</v>
      </c>
      <c r="BC8" s="257">
        <v>23</v>
      </c>
      <c r="BD8" s="257">
        <v>24</v>
      </c>
      <c r="BE8" s="257">
        <v>25</v>
      </c>
      <c r="BF8" s="257">
        <v>26</v>
      </c>
      <c r="BG8" s="257">
        <v>27</v>
      </c>
      <c r="BH8" s="257">
        <v>28</v>
      </c>
      <c r="BI8" s="257">
        <v>29</v>
      </c>
      <c r="BJ8" s="257">
        <v>30</v>
      </c>
      <c r="BK8" s="257">
        <v>31</v>
      </c>
      <c r="BL8" s="257">
        <v>1</v>
      </c>
      <c r="BM8" s="257">
        <v>2</v>
      </c>
      <c r="BN8" s="257">
        <v>3</v>
      </c>
      <c r="BO8" s="257">
        <v>4</v>
      </c>
      <c r="BP8" s="257">
        <v>5</v>
      </c>
      <c r="BQ8" s="257">
        <v>6</v>
      </c>
      <c r="BR8" s="257">
        <v>7</v>
      </c>
      <c r="BS8" s="257">
        <v>8</v>
      </c>
      <c r="BT8" s="257">
        <v>9</v>
      </c>
      <c r="BU8" s="257">
        <v>10</v>
      </c>
      <c r="BV8" s="257">
        <v>11</v>
      </c>
      <c r="BW8" s="257">
        <v>12</v>
      </c>
      <c r="BX8" s="257">
        <v>13</v>
      </c>
      <c r="BY8" s="257">
        <v>14</v>
      </c>
      <c r="BZ8" s="257">
        <v>15</v>
      </c>
      <c r="CA8" s="257">
        <v>16</v>
      </c>
      <c r="CB8" s="257">
        <v>17</v>
      </c>
      <c r="CC8" s="257">
        <v>18</v>
      </c>
      <c r="CD8" s="257">
        <v>19</v>
      </c>
      <c r="CE8" s="257">
        <v>20</v>
      </c>
      <c r="CF8" s="257">
        <v>21</v>
      </c>
    </row>
    <row r="9" spans="1:2129 15008:15057" ht="23.25" customHeight="1" x14ac:dyDescent="0.25">
      <c r="A9" s="223" t="s">
        <v>21</v>
      </c>
      <c r="B9" s="223" t="s">
        <v>76</v>
      </c>
      <c r="C9" s="223" t="s">
        <v>75</v>
      </c>
      <c r="D9" s="223" t="s">
        <v>74</v>
      </c>
      <c r="E9" s="223" t="s">
        <v>73</v>
      </c>
      <c r="F9" s="223" t="s">
        <v>72</v>
      </c>
      <c r="G9" s="243" t="s">
        <v>48</v>
      </c>
      <c r="H9" s="244" t="s">
        <v>71</v>
      </c>
      <c r="I9" s="245" t="s">
        <v>70</v>
      </c>
      <c r="J9" s="246" t="s">
        <v>69</v>
      </c>
      <c r="K9" s="245" t="s">
        <v>68</v>
      </c>
      <c r="L9" s="247" t="s">
        <v>67</v>
      </c>
      <c r="M9" s="248" t="s">
        <v>66</v>
      </c>
      <c r="N9" s="249" t="s">
        <v>65</v>
      </c>
      <c r="O9" s="247" t="s">
        <v>64</v>
      </c>
      <c r="P9" s="248" t="s">
        <v>63</v>
      </c>
      <c r="Q9" s="250" t="s">
        <v>142</v>
      </c>
      <c r="R9" s="249" t="s">
        <v>62</v>
      </c>
      <c r="S9" s="247" t="s">
        <v>61</v>
      </c>
      <c r="T9" s="248" t="s">
        <v>60</v>
      </c>
      <c r="U9" s="246" t="s">
        <v>59</v>
      </c>
      <c r="V9" s="246" t="s">
        <v>58</v>
      </c>
      <c r="W9" s="246" t="s">
        <v>5</v>
      </c>
      <c r="X9" s="250" t="s">
        <v>31</v>
      </c>
      <c r="Y9" s="250" t="s">
        <v>57</v>
      </c>
      <c r="Z9" s="250" t="s">
        <v>56</v>
      </c>
      <c r="AA9" s="251" t="s">
        <v>147</v>
      </c>
      <c r="AB9" s="254" t="s">
        <v>148</v>
      </c>
      <c r="AC9" s="258" t="s">
        <v>220</v>
      </c>
      <c r="AD9" s="258" t="s">
        <v>55</v>
      </c>
      <c r="AE9" s="258" t="s">
        <v>221</v>
      </c>
      <c r="AF9" s="258" t="s">
        <v>55</v>
      </c>
      <c r="AG9" s="258" t="s">
        <v>222</v>
      </c>
      <c r="AH9" s="259" t="s">
        <v>223</v>
      </c>
      <c r="AI9" s="259" t="s">
        <v>223</v>
      </c>
      <c r="AJ9" s="258" t="s">
        <v>220</v>
      </c>
      <c r="AK9" s="258" t="s">
        <v>55</v>
      </c>
      <c r="AL9" s="258" t="s">
        <v>221</v>
      </c>
      <c r="AM9" s="258" t="s">
        <v>55</v>
      </c>
      <c r="AN9" s="258" t="s">
        <v>222</v>
      </c>
      <c r="AO9" s="259" t="s">
        <v>223</v>
      </c>
      <c r="AP9" s="259" t="s">
        <v>223</v>
      </c>
      <c r="AQ9" s="258" t="s">
        <v>220</v>
      </c>
      <c r="AR9" s="258" t="s">
        <v>55</v>
      </c>
      <c r="AS9" s="258" t="s">
        <v>221</v>
      </c>
      <c r="AT9" s="258" t="s">
        <v>55</v>
      </c>
      <c r="AU9" s="258" t="s">
        <v>222</v>
      </c>
      <c r="AV9" s="259" t="s">
        <v>223</v>
      </c>
      <c r="AW9" s="259" t="s">
        <v>223</v>
      </c>
      <c r="AX9" s="258" t="s">
        <v>220</v>
      </c>
      <c r="AY9" s="258" t="s">
        <v>55</v>
      </c>
      <c r="AZ9" s="258" t="s">
        <v>221</v>
      </c>
      <c r="BA9" s="258" t="s">
        <v>55</v>
      </c>
      <c r="BB9" s="258" t="s">
        <v>222</v>
      </c>
      <c r="BC9" s="259" t="s">
        <v>223</v>
      </c>
      <c r="BD9" s="259" t="s">
        <v>223</v>
      </c>
      <c r="BE9" s="258" t="s">
        <v>220</v>
      </c>
      <c r="BF9" s="258" t="s">
        <v>55</v>
      </c>
      <c r="BG9" s="258" t="s">
        <v>221</v>
      </c>
      <c r="BH9" s="258" t="s">
        <v>55</v>
      </c>
      <c r="BI9" s="258" t="s">
        <v>222</v>
      </c>
      <c r="BJ9" s="259" t="s">
        <v>223</v>
      </c>
      <c r="BK9" s="259" t="s">
        <v>223</v>
      </c>
      <c r="BL9" s="258" t="s">
        <v>220</v>
      </c>
      <c r="BM9" s="258" t="s">
        <v>55</v>
      </c>
      <c r="BN9" s="258" t="s">
        <v>221</v>
      </c>
      <c r="BO9" s="258" t="s">
        <v>55</v>
      </c>
      <c r="BP9" s="258" t="s">
        <v>222</v>
      </c>
      <c r="BQ9" s="259" t="s">
        <v>223</v>
      </c>
      <c r="BR9" s="259" t="s">
        <v>223</v>
      </c>
      <c r="BS9" s="258" t="s">
        <v>220</v>
      </c>
      <c r="BT9" s="258" t="s">
        <v>55</v>
      </c>
      <c r="BU9" s="258" t="s">
        <v>221</v>
      </c>
      <c r="BV9" s="258" t="s">
        <v>55</v>
      </c>
      <c r="BW9" s="258" t="s">
        <v>222</v>
      </c>
      <c r="BX9" s="259" t="s">
        <v>223</v>
      </c>
      <c r="BY9" s="259" t="s">
        <v>223</v>
      </c>
      <c r="BZ9" s="258" t="s">
        <v>220</v>
      </c>
      <c r="CA9" s="258" t="s">
        <v>55</v>
      </c>
      <c r="CB9" s="258" t="s">
        <v>221</v>
      </c>
      <c r="CC9" s="258" t="s">
        <v>55</v>
      </c>
      <c r="CD9" s="258" t="s">
        <v>222</v>
      </c>
      <c r="CE9" s="259" t="s">
        <v>223</v>
      </c>
      <c r="CF9" s="259" t="s">
        <v>223</v>
      </c>
      <c r="CG9" s="252"/>
      <c r="CH9" s="252"/>
      <c r="CI9" s="252"/>
      <c r="CJ9" s="252"/>
      <c r="CK9" s="252"/>
      <c r="CL9" s="252"/>
      <c r="CM9" s="252"/>
      <c r="CN9" s="252"/>
      <c r="CO9" s="252"/>
      <c r="CP9" s="252"/>
      <c r="CQ9" s="252"/>
      <c r="CR9" s="252"/>
      <c r="CS9" s="252"/>
      <c r="CT9" s="252"/>
      <c r="CU9" s="252"/>
      <c r="CV9" s="252"/>
      <c r="CW9" s="252"/>
      <c r="CX9" s="252"/>
      <c r="CY9" s="252"/>
      <c r="CZ9" s="252"/>
      <c r="DA9" s="252"/>
      <c r="DB9" s="252"/>
      <c r="DC9" s="252"/>
      <c r="DD9" s="252"/>
      <c r="DE9" s="252"/>
      <c r="DF9" s="252"/>
      <c r="DG9" s="252"/>
      <c r="DH9" s="252"/>
      <c r="DI9" s="252"/>
      <c r="DJ9" s="252"/>
      <c r="DK9" s="252"/>
      <c r="DL9" s="252"/>
      <c r="DM9" s="252"/>
      <c r="DN9" s="252"/>
      <c r="DO9" s="252"/>
      <c r="DP9" s="252"/>
      <c r="DQ9" s="252"/>
      <c r="DR9" s="252"/>
      <c r="DS9" s="252"/>
      <c r="DT9" s="252"/>
      <c r="DU9" s="252"/>
      <c r="DV9" s="252"/>
      <c r="DW9" s="252"/>
      <c r="DX9" s="252"/>
      <c r="DY9" s="252"/>
      <c r="DZ9" s="252"/>
      <c r="EA9" s="252"/>
      <c r="EB9" s="252"/>
      <c r="EC9" s="252"/>
      <c r="ED9" s="252"/>
      <c r="EE9" s="252"/>
      <c r="EF9" s="252"/>
      <c r="EG9" s="252"/>
      <c r="EH9" s="252"/>
      <c r="EI9" s="252"/>
      <c r="EJ9" s="252"/>
      <c r="EK9" s="252"/>
      <c r="EL9" s="252"/>
      <c r="EM9" s="252"/>
      <c r="EN9" s="252"/>
      <c r="EO9" s="252"/>
      <c r="EP9" s="252"/>
      <c r="EQ9" s="252"/>
      <c r="ER9" s="252"/>
      <c r="ES9" s="252"/>
      <c r="ET9" s="252"/>
      <c r="EU9" s="252"/>
      <c r="EV9" s="252"/>
      <c r="EW9" s="252"/>
      <c r="EX9" s="252"/>
      <c r="EY9" s="252"/>
      <c r="EZ9" s="252"/>
      <c r="FA9" s="252"/>
      <c r="FB9" s="252"/>
      <c r="FC9" s="252"/>
      <c r="FD9" s="252"/>
      <c r="FE9" s="252"/>
      <c r="FF9" s="252"/>
      <c r="FG9" s="252"/>
      <c r="FH9" s="252"/>
      <c r="FI9" s="252"/>
      <c r="FJ9" s="252"/>
      <c r="FK9" s="252"/>
      <c r="FL9" s="252"/>
      <c r="FM9" s="252"/>
      <c r="FN9" s="252"/>
      <c r="FO9" s="252"/>
      <c r="FP9" s="252"/>
      <c r="FQ9" s="252"/>
      <c r="FR9" s="252"/>
      <c r="FS9" s="252"/>
      <c r="FT9" s="252"/>
      <c r="FU9" s="252"/>
      <c r="FV9" s="252"/>
      <c r="FW9" s="252"/>
      <c r="FX9" s="252"/>
      <c r="FY9" s="252"/>
      <c r="FZ9" s="252"/>
      <c r="GA9" s="252"/>
      <c r="GB9" s="252"/>
      <c r="GC9" s="252"/>
      <c r="GD9" s="252"/>
      <c r="GE9" s="252"/>
      <c r="GF9" s="252"/>
      <c r="GG9" s="252"/>
      <c r="GH9" s="252"/>
      <c r="GI9" s="252"/>
      <c r="GJ9" s="252"/>
      <c r="GK9" s="252"/>
      <c r="GL9" s="252"/>
      <c r="GM9" s="252"/>
      <c r="GN9" s="252"/>
      <c r="GO9" s="252"/>
      <c r="GP9" s="252"/>
      <c r="GQ9" s="252"/>
      <c r="GR9" s="252"/>
      <c r="GS9" s="252"/>
      <c r="GT9" s="252"/>
      <c r="GU9" s="252"/>
      <c r="GV9" s="252"/>
      <c r="GW9" s="252"/>
      <c r="GX9" s="252"/>
      <c r="GY9" s="252"/>
      <c r="GZ9" s="252"/>
      <c r="HA9" s="252"/>
      <c r="HB9" s="252"/>
      <c r="HC9" s="252"/>
      <c r="HD9" s="252"/>
      <c r="HE9" s="252"/>
      <c r="HF9" s="252"/>
      <c r="HG9" s="252"/>
      <c r="HH9" s="252"/>
      <c r="HI9" s="252"/>
      <c r="HJ9" s="252"/>
      <c r="HK9" s="252"/>
      <c r="HL9" s="252"/>
      <c r="HM9" s="252"/>
      <c r="HN9" s="252"/>
      <c r="HO9" s="252"/>
      <c r="HP9" s="252"/>
      <c r="HQ9" s="252"/>
      <c r="HR9" s="252"/>
      <c r="HS9" s="252"/>
      <c r="HT9" s="252"/>
      <c r="HU9" s="252"/>
      <c r="HV9" s="252"/>
      <c r="HW9" s="252"/>
      <c r="HX9" s="252"/>
      <c r="HY9" s="252"/>
      <c r="HZ9" s="252"/>
      <c r="IA9" s="252"/>
      <c r="IB9" s="252"/>
      <c r="IC9" s="252"/>
      <c r="ID9" s="252"/>
      <c r="IE9" s="252"/>
      <c r="IF9" s="252"/>
      <c r="IG9" s="252"/>
      <c r="IH9" s="252"/>
      <c r="II9" s="252"/>
      <c r="IJ9" s="252"/>
      <c r="IK9" s="252"/>
      <c r="IL9" s="252"/>
      <c r="IM9" s="252"/>
      <c r="IN9" s="252"/>
      <c r="IO9" s="252"/>
      <c r="IP9" s="252"/>
      <c r="IQ9" s="252"/>
      <c r="IR9" s="252"/>
      <c r="IS9" s="252"/>
      <c r="IT9" s="252"/>
      <c r="IU9" s="252"/>
      <c r="IV9" s="252"/>
      <c r="IW9" s="252"/>
      <c r="IX9" s="252"/>
      <c r="IY9" s="252"/>
      <c r="IZ9" s="252"/>
      <c r="JA9" s="252"/>
      <c r="JB9" s="252"/>
      <c r="JC9" s="252"/>
      <c r="JD9" s="252"/>
      <c r="JE9" s="252"/>
      <c r="JF9" s="252"/>
      <c r="JG9" s="252"/>
      <c r="JH9" s="252"/>
      <c r="JI9" s="252"/>
      <c r="JJ9" s="252"/>
      <c r="JK9" s="252"/>
      <c r="JL9" s="252"/>
      <c r="JM9" s="252"/>
      <c r="JN9" s="252"/>
      <c r="JO9" s="252"/>
      <c r="JP9" s="252"/>
      <c r="JQ9" s="252"/>
      <c r="JR9" s="252"/>
      <c r="JS9" s="252"/>
      <c r="JT9" s="252"/>
      <c r="JU9" s="252"/>
      <c r="JV9" s="252"/>
      <c r="JW9" s="252"/>
      <c r="JX9" s="252"/>
      <c r="JY9" s="252"/>
      <c r="JZ9" s="252"/>
      <c r="KA9" s="252"/>
      <c r="KB9" s="252"/>
      <c r="KC9" s="252"/>
      <c r="KD9" s="252"/>
      <c r="KE9" s="252"/>
      <c r="KF9" s="252"/>
      <c r="KG9" s="252"/>
      <c r="KH9" s="252"/>
      <c r="KI9" s="252"/>
      <c r="KJ9" s="252"/>
      <c r="KK9" s="252"/>
      <c r="KL9" s="252"/>
      <c r="KM9" s="252"/>
      <c r="KN9" s="252"/>
      <c r="KO9" s="252"/>
      <c r="KP9" s="252"/>
      <c r="KQ9" s="252"/>
      <c r="KR9" s="252"/>
      <c r="KS9" s="252"/>
      <c r="KT9" s="252"/>
      <c r="KU9" s="252"/>
      <c r="KV9" s="252"/>
      <c r="KW9" s="252"/>
      <c r="KX9" s="252"/>
      <c r="KY9" s="252"/>
      <c r="KZ9" s="252"/>
      <c r="LA9" s="252"/>
      <c r="LB9" s="252"/>
      <c r="LC9" s="252"/>
      <c r="LD9" s="252"/>
      <c r="LE9" s="252"/>
      <c r="LF9" s="252"/>
      <c r="LG9" s="252"/>
      <c r="LH9" s="252"/>
      <c r="LI9" s="252"/>
      <c r="LJ9" s="252"/>
      <c r="LK9" s="252"/>
      <c r="LL9" s="252"/>
      <c r="LM9" s="252"/>
      <c r="LN9" s="252"/>
      <c r="LO9" s="252"/>
      <c r="LP9" s="252"/>
      <c r="LQ9" s="252"/>
      <c r="LR9" s="252"/>
      <c r="LS9" s="252"/>
      <c r="LT9" s="252"/>
      <c r="LU9" s="252"/>
      <c r="LV9" s="252"/>
      <c r="LW9" s="252"/>
      <c r="LX9" s="252"/>
      <c r="LY9" s="252"/>
      <c r="LZ9" s="252"/>
      <c r="MA9" s="252"/>
      <c r="MB9" s="252"/>
      <c r="MC9" s="252"/>
      <c r="MD9" s="252"/>
      <c r="ME9" s="252"/>
      <c r="MF9" s="252"/>
      <c r="MG9" s="252"/>
      <c r="MH9" s="252"/>
      <c r="MI9" s="252"/>
      <c r="MJ9" s="252"/>
      <c r="MK9" s="252"/>
      <c r="ML9" s="252"/>
      <c r="MM9" s="252"/>
      <c r="MN9" s="252"/>
      <c r="MO9" s="252"/>
      <c r="MP9" s="252"/>
      <c r="MQ9" s="252"/>
      <c r="MR9" s="252"/>
      <c r="MS9" s="252"/>
      <c r="MT9" s="252"/>
      <c r="MU9" s="252"/>
      <c r="MV9" s="252"/>
      <c r="MW9" s="252"/>
      <c r="MX9" s="252"/>
      <c r="MY9" s="252"/>
      <c r="MZ9" s="252"/>
      <c r="NA9" s="252"/>
      <c r="NB9" s="252"/>
      <c r="NC9" s="252"/>
      <c r="ND9" s="252"/>
      <c r="NE9" s="252"/>
      <c r="NF9" s="252"/>
      <c r="NG9" s="252"/>
      <c r="NH9" s="252"/>
      <c r="NI9" s="252"/>
      <c r="NJ9" s="252"/>
      <c r="NK9" s="252"/>
      <c r="NL9" s="252"/>
      <c r="NM9" s="252"/>
      <c r="NN9" s="252"/>
      <c r="NO9" s="252"/>
      <c r="NP9" s="252"/>
      <c r="NQ9" s="252"/>
      <c r="NR9" s="252"/>
      <c r="NS9" s="252"/>
      <c r="NT9" s="252"/>
      <c r="NU9" s="252"/>
      <c r="NV9" s="252"/>
      <c r="NW9" s="252"/>
      <c r="NX9" s="252"/>
      <c r="NY9" s="252"/>
      <c r="NZ9" s="252"/>
      <c r="OA9" s="252"/>
      <c r="OB9" s="252"/>
      <c r="OC9" s="252"/>
      <c r="OD9" s="252"/>
      <c r="OE9" s="252"/>
      <c r="OF9" s="252"/>
      <c r="OG9" s="252"/>
      <c r="OH9" s="252"/>
      <c r="OI9" s="252"/>
      <c r="OJ9" s="252"/>
      <c r="OK9" s="252"/>
      <c r="OL9" s="252"/>
      <c r="OM9" s="252"/>
      <c r="ON9" s="252"/>
      <c r="OO9" s="252"/>
      <c r="OP9" s="252"/>
      <c r="OQ9" s="252"/>
      <c r="OR9" s="252"/>
      <c r="OS9" s="252"/>
      <c r="OT9" s="252"/>
      <c r="OU9" s="252"/>
      <c r="OV9" s="252"/>
      <c r="OW9" s="252"/>
      <c r="OX9" s="252"/>
      <c r="OY9" s="252"/>
      <c r="OZ9" s="252"/>
      <c r="PA9" s="252"/>
      <c r="PB9" s="252"/>
      <c r="PC9" s="252"/>
      <c r="PD9" s="252"/>
      <c r="PE9" s="252"/>
      <c r="PF9" s="252"/>
      <c r="PG9" s="252"/>
      <c r="PH9" s="252"/>
      <c r="PI9" s="252"/>
      <c r="PJ9" s="252"/>
      <c r="PK9" s="252"/>
      <c r="PL9" s="252"/>
      <c r="PM9" s="252"/>
      <c r="PN9" s="252"/>
      <c r="PO9" s="252"/>
      <c r="PP9" s="252"/>
      <c r="PQ9" s="252"/>
      <c r="PR9" s="252"/>
      <c r="PS9" s="252"/>
      <c r="PT9" s="252"/>
      <c r="PU9" s="252"/>
      <c r="PV9" s="252"/>
      <c r="PW9" s="252"/>
      <c r="PX9" s="252"/>
      <c r="PY9" s="252"/>
      <c r="PZ9" s="252"/>
      <c r="QA9" s="252"/>
      <c r="QB9" s="252"/>
      <c r="QC9" s="252"/>
      <c r="QD9" s="252"/>
      <c r="QE9" s="252"/>
      <c r="QF9" s="252"/>
      <c r="QG9" s="252"/>
      <c r="QH9" s="252"/>
      <c r="QI9" s="252"/>
      <c r="QJ9" s="252"/>
      <c r="QK9" s="252"/>
      <c r="QL9" s="252"/>
      <c r="QM9" s="252"/>
      <c r="QN9" s="252"/>
      <c r="QO9" s="252"/>
      <c r="QP9" s="252"/>
      <c r="QQ9" s="252"/>
      <c r="QR9" s="252"/>
      <c r="QS9" s="252"/>
      <c r="QT9" s="252"/>
      <c r="QU9" s="252"/>
      <c r="QV9" s="252"/>
      <c r="QW9" s="252"/>
      <c r="QX9" s="252"/>
      <c r="QY9" s="252"/>
      <c r="QZ9" s="252"/>
      <c r="RA9" s="252"/>
      <c r="RB9" s="252"/>
      <c r="RC9" s="252"/>
      <c r="RD9" s="252"/>
      <c r="RE9" s="252"/>
      <c r="RF9" s="252"/>
      <c r="RG9" s="252"/>
      <c r="RH9" s="252"/>
      <c r="RI9" s="252"/>
      <c r="RJ9" s="252"/>
      <c r="RK9" s="252"/>
      <c r="RL9" s="252"/>
      <c r="RM9" s="252"/>
      <c r="RN9" s="252"/>
      <c r="RO9" s="252"/>
      <c r="RP9" s="252"/>
      <c r="RQ9" s="252"/>
      <c r="RR9" s="252"/>
      <c r="RS9" s="252"/>
      <c r="RT9" s="252"/>
      <c r="RU9" s="252"/>
      <c r="RV9" s="252"/>
      <c r="RW9" s="252"/>
      <c r="RX9" s="252"/>
      <c r="RY9" s="252"/>
      <c r="RZ9" s="252"/>
      <c r="SA9" s="252"/>
      <c r="SB9" s="252"/>
      <c r="SC9" s="252"/>
      <c r="SD9" s="252"/>
      <c r="SE9" s="252"/>
      <c r="SF9" s="252"/>
      <c r="SG9" s="252"/>
      <c r="SH9" s="252"/>
      <c r="SI9" s="252"/>
      <c r="SJ9" s="252"/>
      <c r="SK9" s="252"/>
      <c r="SL9" s="252"/>
      <c r="SM9" s="252"/>
      <c r="SN9" s="252"/>
      <c r="SO9" s="252"/>
      <c r="SP9" s="252"/>
      <c r="SQ9" s="252"/>
      <c r="SR9" s="252"/>
      <c r="SS9" s="252"/>
      <c r="ST9" s="252"/>
      <c r="SU9" s="252"/>
      <c r="SV9" s="252"/>
      <c r="SW9" s="252"/>
      <c r="SX9" s="252"/>
      <c r="SY9" s="252"/>
      <c r="SZ9" s="252"/>
      <c r="TA9" s="252"/>
      <c r="TB9" s="252"/>
      <c r="TC9" s="252"/>
      <c r="TD9" s="252"/>
      <c r="TE9" s="252"/>
      <c r="TF9" s="252"/>
      <c r="TG9" s="252"/>
      <c r="TH9" s="252"/>
      <c r="TI9" s="252"/>
      <c r="TJ9" s="252"/>
      <c r="TK9" s="252"/>
      <c r="TL9" s="252"/>
      <c r="TM9" s="252"/>
      <c r="TN9" s="252"/>
      <c r="TO9" s="252"/>
      <c r="TP9" s="252"/>
      <c r="TQ9" s="252"/>
      <c r="TR9" s="252"/>
      <c r="TS9" s="252"/>
      <c r="TT9" s="252"/>
      <c r="TU9" s="252"/>
      <c r="TV9" s="252"/>
      <c r="TW9" s="252"/>
      <c r="TX9" s="252"/>
      <c r="TY9" s="252"/>
      <c r="TZ9" s="252"/>
      <c r="UA9" s="252"/>
      <c r="UB9" s="252"/>
      <c r="UC9" s="252"/>
      <c r="UD9" s="252"/>
      <c r="UE9" s="252"/>
      <c r="UF9" s="252"/>
      <c r="UG9" s="252"/>
      <c r="UH9" s="252"/>
      <c r="UI9" s="252"/>
      <c r="UJ9" s="252"/>
      <c r="UK9" s="252"/>
      <c r="UL9" s="252"/>
      <c r="UM9" s="252"/>
      <c r="UN9" s="252"/>
      <c r="UO9" s="252"/>
      <c r="UP9" s="252"/>
      <c r="UQ9" s="252"/>
      <c r="UR9" s="252"/>
      <c r="US9" s="252"/>
      <c r="UT9" s="252"/>
      <c r="UU9" s="252"/>
      <c r="UV9" s="252"/>
      <c r="UW9" s="252"/>
      <c r="UX9" s="252"/>
      <c r="UY9" s="252"/>
      <c r="UZ9" s="252"/>
      <c r="VA9" s="252"/>
      <c r="VB9" s="252"/>
      <c r="VC9" s="252"/>
      <c r="VD9" s="252"/>
      <c r="VE9" s="252"/>
      <c r="VF9" s="252"/>
      <c r="VG9" s="252"/>
      <c r="VH9" s="252"/>
      <c r="VI9" s="252"/>
      <c r="VJ9" s="252"/>
      <c r="VK9" s="252"/>
      <c r="VL9" s="252"/>
      <c r="VM9" s="252"/>
      <c r="VN9" s="252"/>
      <c r="VO9" s="252"/>
      <c r="VP9" s="252"/>
      <c r="VQ9" s="252"/>
      <c r="VR9" s="252"/>
      <c r="VS9" s="252"/>
      <c r="VT9" s="252"/>
      <c r="VU9" s="252"/>
      <c r="VV9" s="252"/>
      <c r="VW9" s="252"/>
      <c r="VX9" s="252"/>
      <c r="VY9" s="252"/>
      <c r="VZ9" s="252"/>
      <c r="WA9" s="252"/>
      <c r="WB9" s="252"/>
      <c r="WC9" s="252"/>
      <c r="WD9" s="252"/>
      <c r="WE9" s="252"/>
      <c r="WF9" s="252"/>
      <c r="WG9" s="252"/>
      <c r="WH9" s="252"/>
      <c r="WI9" s="252"/>
      <c r="WJ9" s="252"/>
      <c r="WK9" s="252"/>
      <c r="WL9" s="252"/>
      <c r="WM9" s="252"/>
      <c r="WN9" s="252"/>
      <c r="WO9" s="252"/>
      <c r="WP9" s="252"/>
      <c r="WQ9" s="252"/>
      <c r="WR9" s="252"/>
      <c r="WS9" s="252"/>
      <c r="WT9" s="252"/>
      <c r="WU9" s="252"/>
      <c r="WV9" s="252"/>
      <c r="WW9" s="252"/>
      <c r="WX9" s="252"/>
      <c r="WY9" s="252"/>
      <c r="WZ9" s="252"/>
      <c r="XA9" s="252"/>
      <c r="XB9" s="252"/>
      <c r="XC9" s="252"/>
      <c r="XD9" s="252"/>
      <c r="XE9" s="252"/>
      <c r="XF9" s="252"/>
      <c r="XG9" s="252"/>
      <c r="XH9" s="252"/>
      <c r="XI9" s="252"/>
      <c r="XJ9" s="252"/>
      <c r="XK9" s="252"/>
      <c r="XL9" s="252"/>
      <c r="XM9" s="252"/>
      <c r="XN9" s="252"/>
      <c r="XO9" s="252"/>
      <c r="XP9" s="252"/>
      <c r="XQ9" s="252"/>
      <c r="XR9" s="252"/>
      <c r="XS9" s="252"/>
      <c r="XT9" s="252"/>
      <c r="XU9" s="252"/>
      <c r="XV9" s="252"/>
      <c r="XW9" s="252"/>
      <c r="XX9" s="252"/>
      <c r="XY9" s="252"/>
      <c r="XZ9" s="252"/>
      <c r="YA9" s="252"/>
      <c r="YB9" s="252"/>
      <c r="YC9" s="252"/>
      <c r="YD9" s="252"/>
      <c r="YE9" s="252"/>
      <c r="YF9" s="252"/>
      <c r="YG9" s="252"/>
      <c r="YH9" s="252"/>
      <c r="YI9" s="252"/>
      <c r="YJ9" s="252"/>
      <c r="YK9" s="252"/>
      <c r="YL9" s="252"/>
      <c r="YM9" s="252"/>
      <c r="YN9" s="252"/>
      <c r="YO9" s="252"/>
      <c r="YP9" s="252"/>
      <c r="YQ9" s="252"/>
      <c r="YR9" s="252"/>
      <c r="YS9" s="252"/>
      <c r="YT9" s="252"/>
      <c r="YU9" s="252"/>
      <c r="YV9" s="252"/>
      <c r="YW9" s="252"/>
      <c r="YX9" s="252"/>
      <c r="YY9" s="252"/>
      <c r="YZ9" s="252"/>
      <c r="ZA9" s="252"/>
      <c r="ZB9" s="252"/>
      <c r="ZC9" s="252"/>
      <c r="ZD9" s="252"/>
      <c r="ZE9" s="252"/>
      <c r="ZF9" s="252"/>
      <c r="ZG9" s="252"/>
      <c r="ZH9" s="252"/>
      <c r="ZI9" s="252"/>
      <c r="ZJ9" s="252"/>
      <c r="ZK9" s="252"/>
      <c r="ZL9" s="252"/>
      <c r="ZM9" s="252"/>
      <c r="ZN9" s="252"/>
      <c r="ZO9" s="252"/>
      <c r="ZP9" s="252"/>
      <c r="ZQ9" s="252"/>
      <c r="ZR9" s="252"/>
      <c r="ZS9" s="252"/>
      <c r="ZT9" s="252"/>
      <c r="ZU9" s="252"/>
      <c r="ZV9" s="252"/>
      <c r="ZW9" s="252"/>
      <c r="ZX9" s="252"/>
      <c r="ZY9" s="252"/>
      <c r="ZZ9" s="252"/>
      <c r="AAA9" s="252"/>
      <c r="AAB9" s="252"/>
      <c r="AAC9" s="252"/>
      <c r="AAD9" s="252"/>
      <c r="AAE9" s="252"/>
      <c r="AAF9" s="252"/>
      <c r="AAG9" s="252"/>
      <c r="AAH9" s="252"/>
      <c r="AAI9" s="252"/>
      <c r="AAJ9" s="252"/>
      <c r="AAK9" s="252"/>
      <c r="AAL9" s="252"/>
      <c r="AAM9" s="252"/>
      <c r="AAN9" s="252"/>
      <c r="AAO9" s="252"/>
      <c r="AAP9" s="252"/>
      <c r="AAQ9" s="252"/>
      <c r="AAR9" s="252"/>
      <c r="AAS9" s="252"/>
      <c r="AAT9" s="252"/>
      <c r="AAU9" s="252"/>
      <c r="AAV9" s="252"/>
      <c r="AAW9" s="252"/>
      <c r="AAX9" s="252"/>
      <c r="AAY9" s="252"/>
      <c r="AAZ9" s="252"/>
      <c r="ABA9" s="252"/>
      <c r="ABB9" s="252"/>
      <c r="ABC9" s="252"/>
      <c r="ABD9" s="252"/>
      <c r="ABE9" s="252"/>
      <c r="ABF9" s="252"/>
      <c r="ABG9" s="252"/>
      <c r="ABH9" s="252"/>
      <c r="ABI9" s="252"/>
      <c r="ABJ9" s="252"/>
      <c r="ABK9" s="252"/>
      <c r="ABL9" s="252"/>
      <c r="ABM9" s="252"/>
      <c r="ABN9" s="252"/>
      <c r="ABO9" s="252"/>
      <c r="ABP9" s="252"/>
      <c r="ABQ9" s="252"/>
      <c r="ABR9" s="252"/>
      <c r="ABS9" s="252"/>
      <c r="ABT9" s="252"/>
      <c r="ABU9" s="252"/>
      <c r="ABV9" s="252"/>
      <c r="ABW9" s="252"/>
      <c r="ABX9" s="252"/>
      <c r="ABY9" s="252"/>
      <c r="ABZ9" s="252"/>
      <c r="ACA9" s="252"/>
      <c r="ACB9" s="252"/>
      <c r="ACC9" s="252"/>
      <c r="ACD9" s="252"/>
      <c r="ACE9" s="252"/>
      <c r="ACF9" s="252"/>
      <c r="ACG9" s="252"/>
      <c r="ACH9" s="252"/>
      <c r="ACI9" s="252"/>
      <c r="ACJ9" s="252"/>
      <c r="ACK9" s="252"/>
      <c r="ACL9" s="252"/>
      <c r="ACM9" s="252"/>
      <c r="ACN9" s="252"/>
      <c r="ACO9" s="252"/>
      <c r="ACP9" s="252"/>
      <c r="ACQ9" s="252"/>
      <c r="ACR9" s="252"/>
      <c r="ACS9" s="252"/>
      <c r="ACT9" s="252"/>
      <c r="ACU9" s="252"/>
      <c r="ACV9" s="252"/>
      <c r="ACW9" s="252"/>
      <c r="ACX9" s="252"/>
      <c r="ACY9" s="252"/>
      <c r="ACZ9" s="252"/>
      <c r="ADA9" s="252"/>
      <c r="ADB9" s="252"/>
      <c r="ADC9" s="252"/>
      <c r="ADD9" s="252"/>
      <c r="ADE9" s="252"/>
      <c r="ADF9" s="252"/>
      <c r="ADG9" s="252"/>
      <c r="ADH9" s="252"/>
      <c r="ADI9" s="252"/>
      <c r="ADJ9" s="252"/>
      <c r="ADK9" s="252"/>
      <c r="ADL9" s="252"/>
      <c r="ADM9" s="252"/>
      <c r="ADN9" s="252"/>
      <c r="ADO9" s="252"/>
      <c r="ADP9" s="252"/>
      <c r="ADQ9" s="252"/>
      <c r="ADR9" s="252"/>
      <c r="ADS9" s="252"/>
      <c r="ADT9" s="252"/>
      <c r="ADU9" s="252"/>
      <c r="ADV9" s="252"/>
      <c r="ADW9" s="252"/>
      <c r="ADX9" s="252"/>
      <c r="ADY9" s="252"/>
      <c r="ADZ9" s="252"/>
      <c r="AEA9" s="252"/>
      <c r="AEB9" s="252"/>
      <c r="AEC9" s="252"/>
      <c r="AED9" s="252"/>
      <c r="AEE9" s="252"/>
      <c r="AEF9" s="252"/>
      <c r="AEG9" s="252"/>
      <c r="AEH9" s="252"/>
      <c r="AEI9" s="252"/>
      <c r="AEJ9" s="252"/>
      <c r="AEK9" s="252"/>
      <c r="AEL9" s="252"/>
      <c r="AEM9" s="252"/>
      <c r="AEN9" s="252"/>
      <c r="AEO9" s="252"/>
      <c r="AEP9" s="252"/>
      <c r="AEQ9" s="252"/>
      <c r="AER9" s="252"/>
      <c r="AES9" s="252"/>
      <c r="AET9" s="252"/>
      <c r="AEU9" s="252"/>
      <c r="AEV9" s="252"/>
      <c r="AEW9" s="252"/>
      <c r="AEX9" s="252"/>
      <c r="AEY9" s="252"/>
      <c r="AEZ9" s="252"/>
      <c r="AFA9" s="252"/>
      <c r="AFB9" s="252"/>
      <c r="AFC9" s="252"/>
      <c r="AFD9" s="252"/>
      <c r="AFE9" s="252"/>
      <c r="AFF9" s="252"/>
      <c r="AFG9" s="252"/>
      <c r="AFH9" s="252"/>
      <c r="AFI9" s="252"/>
      <c r="AFJ9" s="252"/>
      <c r="AFK9" s="252"/>
      <c r="AFL9" s="252"/>
      <c r="AFM9" s="252"/>
      <c r="AFN9" s="252"/>
      <c r="AFO9" s="252"/>
      <c r="AFP9" s="252"/>
      <c r="AFQ9" s="252"/>
      <c r="AFR9" s="252"/>
      <c r="AFS9" s="252"/>
      <c r="AFT9" s="252"/>
      <c r="AFU9" s="252"/>
      <c r="AFV9" s="252"/>
      <c r="AFW9" s="252"/>
      <c r="AFX9" s="252"/>
      <c r="AFY9" s="252"/>
      <c r="AFZ9" s="252"/>
      <c r="AGA9" s="252"/>
      <c r="AGB9" s="252"/>
      <c r="AGC9" s="252"/>
      <c r="AGD9" s="252"/>
      <c r="AGE9" s="252"/>
      <c r="AGF9" s="252"/>
      <c r="AGG9" s="252"/>
      <c r="AGH9" s="252"/>
      <c r="AGI9" s="252"/>
      <c r="AGJ9" s="252"/>
      <c r="AGK9" s="252"/>
      <c r="AGL9" s="252"/>
      <c r="AGM9" s="252"/>
      <c r="AGN9" s="252"/>
      <c r="AGO9" s="252"/>
      <c r="AGP9" s="252"/>
      <c r="AGQ9" s="252"/>
      <c r="AGR9" s="252"/>
      <c r="AGS9" s="252"/>
      <c r="AGT9" s="252"/>
      <c r="AGU9" s="252"/>
      <c r="AGV9" s="252"/>
      <c r="AGW9" s="252"/>
      <c r="AGX9" s="252"/>
      <c r="AGY9" s="252"/>
      <c r="AGZ9" s="252"/>
      <c r="AHA9" s="252"/>
      <c r="AHB9" s="252"/>
      <c r="AHC9" s="252"/>
      <c r="AHD9" s="252"/>
      <c r="AHE9" s="252"/>
      <c r="AHF9" s="252"/>
      <c r="AHG9" s="252"/>
      <c r="AHH9" s="252"/>
      <c r="AHI9" s="252"/>
      <c r="AHJ9" s="252"/>
      <c r="AHK9" s="252"/>
      <c r="AHL9" s="252"/>
      <c r="AHM9" s="252"/>
      <c r="AHN9" s="252"/>
      <c r="AHO9" s="252"/>
      <c r="AHP9" s="252"/>
      <c r="AHQ9" s="252"/>
      <c r="AHR9" s="252"/>
      <c r="AHS9" s="252"/>
      <c r="AHT9" s="252"/>
      <c r="AHU9" s="252"/>
      <c r="AHV9" s="252"/>
      <c r="AHW9" s="252"/>
      <c r="AHX9" s="252"/>
      <c r="AHY9" s="252"/>
      <c r="AHZ9" s="252"/>
      <c r="AIA9" s="252"/>
      <c r="AIB9" s="252"/>
      <c r="AIC9" s="252"/>
      <c r="AID9" s="252"/>
      <c r="AIE9" s="252"/>
      <c r="AIF9" s="252"/>
      <c r="AIG9" s="252"/>
      <c r="AIH9" s="252"/>
      <c r="AII9" s="252"/>
      <c r="AIJ9" s="252"/>
      <c r="AIK9" s="252"/>
      <c r="AIL9" s="252"/>
      <c r="AIM9" s="252"/>
      <c r="AIN9" s="252"/>
      <c r="AIO9" s="252"/>
      <c r="AIP9" s="252"/>
      <c r="AIQ9" s="252"/>
      <c r="AIR9" s="252"/>
      <c r="AIS9" s="252"/>
      <c r="AIT9" s="252"/>
      <c r="AIU9" s="252"/>
      <c r="AIV9" s="252"/>
      <c r="AIW9" s="252"/>
      <c r="AIX9" s="252"/>
      <c r="AIY9" s="252"/>
      <c r="AIZ9" s="252"/>
      <c r="AJA9" s="252"/>
      <c r="AJB9" s="252"/>
      <c r="AJC9" s="252"/>
      <c r="AJD9" s="252"/>
      <c r="AJE9" s="252"/>
      <c r="AJF9" s="252"/>
      <c r="AJG9" s="252"/>
      <c r="AJH9" s="252"/>
      <c r="AJI9" s="252"/>
      <c r="AJJ9" s="252"/>
      <c r="AJK9" s="252"/>
      <c r="AJL9" s="252"/>
      <c r="AJM9" s="252"/>
      <c r="AJN9" s="252"/>
      <c r="AJO9" s="252"/>
      <c r="AJP9" s="252"/>
      <c r="AJQ9" s="252"/>
      <c r="AJR9" s="252"/>
      <c r="AJS9" s="252"/>
      <c r="AJT9" s="252"/>
      <c r="AJU9" s="252"/>
      <c r="AJV9" s="252"/>
      <c r="AJW9" s="252"/>
      <c r="AJX9" s="252"/>
      <c r="AJY9" s="252"/>
      <c r="AJZ9" s="252"/>
      <c r="AKA9" s="252"/>
      <c r="AKB9" s="252"/>
      <c r="AKC9" s="252"/>
      <c r="AKD9" s="252"/>
      <c r="AKE9" s="252"/>
      <c r="AKF9" s="252"/>
      <c r="AKG9" s="252"/>
      <c r="AKH9" s="252"/>
      <c r="AKI9" s="252"/>
      <c r="AKJ9" s="252"/>
      <c r="AKK9" s="252"/>
      <c r="AKL9" s="252"/>
      <c r="AKM9" s="252"/>
      <c r="AKN9" s="252"/>
      <c r="AKO9" s="252"/>
      <c r="AKP9" s="252"/>
      <c r="AKQ9" s="252"/>
      <c r="AKR9" s="252"/>
      <c r="AKS9" s="252"/>
      <c r="AKT9" s="252"/>
      <c r="AKU9" s="252"/>
      <c r="AKV9" s="252"/>
      <c r="AKW9" s="252"/>
      <c r="AKX9" s="252"/>
      <c r="AKY9" s="252"/>
      <c r="AKZ9" s="252"/>
      <c r="ALA9" s="252"/>
      <c r="ALB9" s="252"/>
      <c r="ALC9" s="252"/>
      <c r="ALD9" s="252"/>
      <c r="ALE9" s="252"/>
      <c r="ALF9" s="252"/>
      <c r="ALG9" s="252"/>
      <c r="ALH9" s="252"/>
      <c r="ALI9" s="252"/>
      <c r="ALJ9" s="252"/>
      <c r="ALK9" s="252"/>
      <c r="ALL9" s="252"/>
      <c r="ALM9" s="252"/>
      <c r="ALN9" s="252"/>
      <c r="ALO9" s="252"/>
      <c r="ALP9" s="252"/>
      <c r="ALQ9" s="252"/>
      <c r="ALR9" s="252"/>
      <c r="ALS9" s="252"/>
      <c r="ALT9" s="252"/>
      <c r="ALU9" s="252"/>
      <c r="ALV9" s="252"/>
      <c r="ALW9" s="252"/>
      <c r="ALX9" s="252"/>
      <c r="ALY9" s="252"/>
      <c r="ALZ9" s="252"/>
      <c r="AMA9" s="252"/>
      <c r="AMB9" s="252"/>
      <c r="AMC9" s="252"/>
      <c r="AMD9" s="252"/>
      <c r="AME9" s="252"/>
      <c r="AMF9" s="252"/>
      <c r="AMG9" s="252"/>
      <c r="AMH9" s="252"/>
      <c r="AMI9" s="252"/>
      <c r="AMJ9" s="252"/>
      <c r="AMK9" s="252"/>
      <c r="AML9" s="252"/>
      <c r="AMM9" s="252"/>
      <c r="AMN9" s="252"/>
      <c r="AMO9" s="252"/>
      <c r="AMP9" s="252"/>
      <c r="AMQ9" s="252"/>
      <c r="AMR9" s="252"/>
      <c r="AMS9" s="252"/>
      <c r="AMT9" s="252"/>
      <c r="AMU9" s="252"/>
      <c r="AMV9" s="252"/>
      <c r="AMW9" s="252"/>
      <c r="AMX9" s="252"/>
      <c r="AMY9" s="252"/>
      <c r="AMZ9" s="252"/>
      <c r="ANA9" s="252"/>
      <c r="ANB9" s="252"/>
      <c r="ANC9" s="252"/>
      <c r="AND9" s="252"/>
      <c r="ANE9" s="252"/>
      <c r="ANF9" s="252"/>
      <c r="ANG9" s="252"/>
      <c r="ANH9" s="252"/>
      <c r="ANI9" s="252"/>
      <c r="ANJ9" s="252"/>
      <c r="ANK9" s="252"/>
      <c r="ANL9" s="252"/>
      <c r="ANM9" s="252"/>
      <c r="ANN9" s="252"/>
      <c r="ANO9" s="252"/>
      <c r="ANP9" s="252"/>
      <c r="ANQ9" s="252"/>
      <c r="ANR9" s="252"/>
      <c r="ANS9" s="252"/>
      <c r="ANT9" s="252"/>
      <c r="ANU9" s="252"/>
      <c r="ANV9" s="252"/>
      <c r="ANW9" s="252"/>
      <c r="ANX9" s="252"/>
      <c r="ANY9" s="252"/>
      <c r="ANZ9" s="252"/>
      <c r="AOA9" s="252"/>
      <c r="AOB9" s="252"/>
      <c r="AOC9" s="252"/>
      <c r="AOD9" s="252"/>
      <c r="AOE9" s="252"/>
      <c r="AOF9" s="252"/>
      <c r="AOG9" s="252"/>
      <c r="AOH9" s="252"/>
      <c r="AOI9" s="252"/>
      <c r="AOJ9" s="252"/>
      <c r="AOK9" s="252"/>
      <c r="AOL9" s="252"/>
      <c r="AOM9" s="252"/>
      <c r="AON9" s="252"/>
      <c r="AOO9" s="252"/>
      <c r="AOP9" s="252"/>
      <c r="AOQ9" s="252"/>
      <c r="AOR9" s="252"/>
      <c r="AOS9" s="252"/>
      <c r="AOT9" s="252"/>
      <c r="AOU9" s="252"/>
      <c r="AOV9" s="252"/>
      <c r="AOW9" s="252"/>
      <c r="AOX9" s="252"/>
      <c r="AOY9" s="252"/>
      <c r="AOZ9" s="252"/>
      <c r="APA9" s="252"/>
      <c r="APB9" s="252"/>
      <c r="APC9" s="252"/>
      <c r="APD9" s="252"/>
      <c r="APE9" s="252"/>
      <c r="APF9" s="252"/>
      <c r="APG9" s="252"/>
      <c r="APH9" s="252"/>
      <c r="API9" s="252"/>
      <c r="APJ9" s="252"/>
      <c r="APK9" s="252"/>
      <c r="APL9" s="252"/>
      <c r="APM9" s="252"/>
      <c r="APN9" s="252"/>
      <c r="APO9" s="252"/>
      <c r="APP9" s="252"/>
      <c r="APQ9" s="252"/>
      <c r="APR9" s="252"/>
      <c r="APS9" s="252"/>
      <c r="APT9" s="252"/>
      <c r="APU9" s="252"/>
      <c r="APV9" s="252"/>
      <c r="APW9" s="252"/>
      <c r="APX9" s="252"/>
      <c r="APY9" s="252"/>
      <c r="APZ9" s="252"/>
      <c r="AQA9" s="252"/>
      <c r="AQB9" s="252"/>
      <c r="AQC9" s="252"/>
      <c r="AQD9" s="252"/>
      <c r="AQE9" s="252"/>
      <c r="AQF9" s="252"/>
      <c r="AQG9" s="252"/>
      <c r="AQH9" s="252"/>
      <c r="AQI9" s="252"/>
      <c r="AQJ9" s="252"/>
      <c r="AQK9" s="252"/>
      <c r="AQL9" s="252"/>
      <c r="AQM9" s="252"/>
      <c r="AQN9" s="252"/>
      <c r="AQO9" s="252"/>
      <c r="AQP9" s="252"/>
      <c r="AQQ9" s="252"/>
      <c r="AQR9" s="252"/>
      <c r="AQS9" s="252"/>
      <c r="AQT9" s="252"/>
      <c r="AQU9" s="252"/>
      <c r="AQV9" s="252"/>
      <c r="AQW9" s="252"/>
      <c r="AQX9" s="252"/>
      <c r="AQY9" s="252"/>
      <c r="AQZ9" s="252"/>
      <c r="ARA9" s="252"/>
      <c r="ARB9" s="252"/>
      <c r="ARC9" s="252"/>
      <c r="ARD9" s="252"/>
      <c r="ARE9" s="252"/>
      <c r="ARF9" s="252"/>
      <c r="ARG9" s="252"/>
      <c r="ARH9" s="252"/>
      <c r="ARI9" s="252"/>
      <c r="ARJ9" s="252"/>
      <c r="ARK9" s="252"/>
      <c r="ARL9" s="252"/>
      <c r="ARM9" s="252"/>
      <c r="ARN9" s="252"/>
      <c r="ARO9" s="252"/>
      <c r="ARP9" s="252"/>
      <c r="ARQ9" s="252"/>
      <c r="ARR9" s="252"/>
      <c r="ARS9" s="252"/>
      <c r="ART9" s="252"/>
      <c r="ARU9" s="252"/>
      <c r="ARV9" s="252"/>
      <c r="ARW9" s="252"/>
      <c r="ARX9" s="252"/>
      <c r="ARY9" s="252"/>
      <c r="ARZ9" s="252"/>
      <c r="ASA9" s="252"/>
      <c r="ASB9" s="252"/>
      <c r="ASC9" s="252"/>
      <c r="ASD9" s="252"/>
      <c r="ASE9" s="252"/>
      <c r="ASF9" s="252"/>
      <c r="ASG9" s="252"/>
      <c r="ASH9" s="252"/>
      <c r="ASI9" s="252"/>
      <c r="ASJ9" s="252"/>
      <c r="ASK9" s="252"/>
      <c r="ASL9" s="252"/>
      <c r="ASM9" s="252"/>
      <c r="ASN9" s="252"/>
      <c r="ASO9" s="252"/>
      <c r="ASP9" s="252"/>
      <c r="ASQ9" s="252"/>
      <c r="ASR9" s="252"/>
      <c r="ASS9" s="252"/>
      <c r="AST9" s="252"/>
      <c r="ASU9" s="252"/>
      <c r="ASV9" s="252"/>
      <c r="ASW9" s="252"/>
      <c r="ASX9" s="252"/>
      <c r="ASY9" s="252"/>
      <c r="ASZ9" s="252"/>
      <c r="ATA9" s="252"/>
      <c r="ATB9" s="252"/>
      <c r="ATC9" s="252"/>
      <c r="ATD9" s="252"/>
      <c r="ATE9" s="252"/>
      <c r="ATF9" s="252"/>
      <c r="ATG9" s="252"/>
      <c r="ATH9" s="252"/>
      <c r="ATI9" s="252"/>
      <c r="ATJ9" s="252"/>
      <c r="ATK9" s="252"/>
      <c r="ATL9" s="252"/>
      <c r="ATM9" s="252"/>
      <c r="ATN9" s="252"/>
      <c r="ATO9" s="252"/>
      <c r="ATP9" s="252"/>
      <c r="ATQ9" s="252"/>
      <c r="ATR9" s="252"/>
      <c r="ATS9" s="252"/>
      <c r="ATT9" s="252"/>
      <c r="ATU9" s="252"/>
      <c r="ATV9" s="252"/>
      <c r="ATW9" s="252"/>
      <c r="ATX9" s="252"/>
      <c r="ATY9" s="252"/>
      <c r="ATZ9" s="252"/>
      <c r="AUA9" s="252"/>
      <c r="AUB9" s="252"/>
      <c r="AUC9" s="252"/>
      <c r="AUD9" s="252"/>
      <c r="AUE9" s="252"/>
      <c r="AUF9" s="252"/>
      <c r="AUG9" s="252"/>
      <c r="AUH9" s="252"/>
      <c r="AUI9" s="252"/>
      <c r="AUJ9" s="252"/>
      <c r="AUK9" s="252"/>
      <c r="AUL9" s="252"/>
      <c r="AUM9" s="252"/>
      <c r="AUN9" s="252"/>
      <c r="AUO9" s="252"/>
      <c r="AUP9" s="252"/>
      <c r="AUQ9" s="252"/>
      <c r="AUR9" s="252"/>
      <c r="AUS9" s="252"/>
      <c r="AUT9" s="252"/>
      <c r="AUU9" s="252"/>
      <c r="AUV9" s="252"/>
      <c r="AUW9" s="252"/>
      <c r="AUX9" s="252"/>
      <c r="AUY9" s="252"/>
      <c r="AUZ9" s="252"/>
      <c r="AVA9" s="252"/>
      <c r="AVB9" s="252"/>
      <c r="AVC9" s="252"/>
      <c r="AVD9" s="252"/>
      <c r="AVE9" s="252"/>
      <c r="AVF9" s="252"/>
      <c r="AVG9" s="252"/>
      <c r="AVH9" s="252"/>
      <c r="AVI9" s="252"/>
      <c r="AVJ9" s="252"/>
      <c r="AVK9" s="252"/>
      <c r="AVL9" s="252"/>
      <c r="AVM9" s="252"/>
      <c r="AVN9" s="252"/>
      <c r="AVO9" s="252"/>
      <c r="AVP9" s="252"/>
      <c r="AVQ9" s="252"/>
      <c r="AVR9" s="252"/>
      <c r="AVS9" s="252"/>
      <c r="AVT9" s="252"/>
      <c r="AVU9" s="252"/>
      <c r="AVV9" s="252"/>
      <c r="AVW9" s="252"/>
      <c r="AVX9" s="252"/>
      <c r="AVY9" s="252"/>
      <c r="AVZ9" s="252"/>
      <c r="AWA9" s="252"/>
      <c r="AWB9" s="252"/>
      <c r="AWC9" s="252"/>
      <c r="AWD9" s="252"/>
      <c r="AWE9" s="252"/>
      <c r="AWF9" s="252"/>
      <c r="AWG9" s="252"/>
      <c r="AWH9" s="252"/>
      <c r="AWI9" s="252"/>
      <c r="AWJ9" s="252"/>
      <c r="AWK9" s="252"/>
      <c r="AWL9" s="252"/>
      <c r="AWM9" s="252"/>
      <c r="AWN9" s="252"/>
      <c r="AWO9" s="252"/>
      <c r="AWP9" s="252"/>
      <c r="AWQ9" s="252"/>
      <c r="AWR9" s="252"/>
      <c r="AWS9" s="252"/>
      <c r="AWT9" s="252"/>
      <c r="AWU9" s="252"/>
      <c r="AWV9" s="252"/>
      <c r="AWW9" s="252"/>
      <c r="AWX9" s="252"/>
      <c r="AWY9" s="252"/>
      <c r="AWZ9" s="252"/>
      <c r="AXA9" s="252"/>
      <c r="AXB9" s="252"/>
      <c r="AXC9" s="252"/>
      <c r="AXD9" s="252"/>
      <c r="AXE9" s="252"/>
      <c r="AXF9" s="252"/>
      <c r="AXG9" s="252"/>
      <c r="AXH9" s="252"/>
      <c r="AXI9" s="252"/>
      <c r="AXJ9" s="252"/>
      <c r="AXK9" s="252"/>
      <c r="AXL9" s="252"/>
      <c r="AXM9" s="252"/>
      <c r="AXN9" s="252"/>
      <c r="AXO9" s="252"/>
      <c r="AXP9" s="252"/>
      <c r="AXQ9" s="252"/>
      <c r="AXR9" s="252"/>
      <c r="AXS9" s="252"/>
      <c r="AXT9" s="252"/>
      <c r="AXU9" s="252"/>
      <c r="AXV9" s="252"/>
      <c r="AXW9" s="252"/>
      <c r="AXX9" s="252"/>
      <c r="AXY9" s="252"/>
      <c r="AXZ9" s="252"/>
      <c r="AYA9" s="252"/>
      <c r="AYB9" s="252"/>
      <c r="AYC9" s="252"/>
      <c r="AYD9" s="252"/>
      <c r="AYE9" s="252"/>
      <c r="AYF9" s="252"/>
      <c r="AYG9" s="252"/>
      <c r="AYH9" s="252"/>
      <c r="AYI9" s="252"/>
      <c r="AYJ9" s="252"/>
      <c r="AYK9" s="252"/>
      <c r="AYL9" s="252"/>
      <c r="AYM9" s="252"/>
      <c r="AYN9" s="252"/>
      <c r="AYO9" s="252"/>
      <c r="AYP9" s="252"/>
      <c r="AYQ9" s="252"/>
      <c r="AYR9" s="252"/>
      <c r="AYS9" s="252"/>
      <c r="AYT9" s="252"/>
      <c r="AYU9" s="252"/>
      <c r="AYV9" s="252"/>
      <c r="AYW9" s="252"/>
      <c r="AYX9" s="252"/>
      <c r="AYY9" s="252"/>
      <c r="AYZ9" s="252"/>
      <c r="AZA9" s="252"/>
      <c r="AZB9" s="252"/>
      <c r="AZC9" s="252"/>
      <c r="AZD9" s="252"/>
      <c r="AZE9" s="252"/>
      <c r="AZF9" s="252"/>
      <c r="AZG9" s="252"/>
      <c r="AZH9" s="252"/>
      <c r="AZI9" s="252"/>
      <c r="AZJ9" s="252"/>
      <c r="AZK9" s="252"/>
      <c r="AZL9" s="252"/>
      <c r="AZM9" s="252"/>
      <c r="AZN9" s="252"/>
      <c r="AZO9" s="252"/>
      <c r="AZP9" s="252"/>
      <c r="AZQ9" s="252"/>
      <c r="AZR9" s="252"/>
      <c r="AZS9" s="252"/>
      <c r="AZT9" s="252"/>
      <c r="AZU9" s="252"/>
      <c r="AZV9" s="252"/>
      <c r="AZW9" s="252"/>
      <c r="AZX9" s="252"/>
      <c r="AZY9" s="252"/>
      <c r="AZZ9" s="252"/>
      <c r="BAA9" s="252"/>
      <c r="BAB9" s="252"/>
      <c r="BAC9" s="252"/>
      <c r="BAD9" s="252"/>
      <c r="BAE9" s="252"/>
      <c r="BAF9" s="252"/>
      <c r="BAG9" s="252"/>
      <c r="BAH9" s="252"/>
      <c r="BAI9" s="252"/>
      <c r="BAJ9" s="252"/>
      <c r="BAK9" s="252"/>
      <c r="BAL9" s="252"/>
      <c r="BAM9" s="252"/>
      <c r="BAN9" s="252"/>
      <c r="BAO9" s="252"/>
      <c r="BAP9" s="252"/>
      <c r="BAQ9" s="252"/>
      <c r="BAR9" s="252"/>
      <c r="BAS9" s="252"/>
      <c r="BAT9" s="252"/>
      <c r="BAU9" s="252"/>
      <c r="BAV9" s="252"/>
      <c r="BAW9" s="252"/>
      <c r="BAX9" s="252"/>
      <c r="BAY9" s="252"/>
      <c r="BAZ9" s="252"/>
      <c r="BBA9" s="252"/>
      <c r="BBB9" s="252"/>
      <c r="BBC9" s="252"/>
      <c r="BBD9" s="252"/>
      <c r="BBE9" s="252"/>
      <c r="BBF9" s="252"/>
      <c r="BBG9" s="252"/>
      <c r="BBH9" s="252"/>
      <c r="BBI9" s="252"/>
      <c r="BBJ9" s="252"/>
      <c r="BBK9" s="252"/>
      <c r="BBL9" s="252"/>
      <c r="BBM9" s="252"/>
      <c r="BBN9" s="252"/>
      <c r="BBO9" s="252"/>
      <c r="BBP9" s="252"/>
      <c r="BBQ9" s="252"/>
      <c r="BBR9" s="252"/>
      <c r="BBS9" s="252"/>
      <c r="BBT9" s="252"/>
      <c r="BBU9" s="252"/>
      <c r="BBV9" s="252"/>
      <c r="BBW9" s="252"/>
      <c r="BBX9" s="252"/>
      <c r="BBY9" s="252"/>
      <c r="BBZ9" s="252"/>
      <c r="BCA9" s="252"/>
      <c r="BCB9" s="252"/>
      <c r="BCC9" s="252"/>
      <c r="BCD9" s="252"/>
      <c r="BCE9" s="252"/>
      <c r="BCF9" s="252"/>
      <c r="BCG9" s="252"/>
      <c r="BCH9" s="252"/>
      <c r="BCI9" s="252"/>
      <c r="BCJ9" s="252"/>
      <c r="BCK9" s="252"/>
      <c r="BCL9" s="252"/>
      <c r="BCM9" s="252"/>
      <c r="BCN9" s="252"/>
      <c r="BCO9" s="252"/>
      <c r="BCP9" s="252"/>
      <c r="BCQ9" s="252"/>
      <c r="BCR9" s="252"/>
      <c r="BCS9" s="252"/>
      <c r="BCT9" s="252"/>
      <c r="BCU9" s="252"/>
      <c r="BCV9" s="252"/>
      <c r="BCW9" s="252"/>
      <c r="BCX9" s="252"/>
      <c r="BCY9" s="252"/>
      <c r="BCZ9" s="252"/>
      <c r="BDA9" s="252"/>
      <c r="BDB9" s="252"/>
      <c r="BDC9" s="252"/>
      <c r="BDD9" s="252"/>
      <c r="BDE9" s="252"/>
      <c r="BDF9" s="252"/>
      <c r="BDG9" s="252"/>
      <c r="BDH9" s="252"/>
      <c r="BDI9" s="252"/>
      <c r="BDJ9" s="252"/>
      <c r="BDK9" s="252"/>
      <c r="BDL9" s="252"/>
      <c r="BDM9" s="252"/>
      <c r="BDN9" s="252"/>
      <c r="BDO9" s="252"/>
      <c r="BDP9" s="252"/>
      <c r="BDQ9" s="252"/>
      <c r="BDR9" s="252"/>
      <c r="BDS9" s="252"/>
      <c r="BDT9" s="252"/>
      <c r="BDU9" s="252"/>
      <c r="BDV9" s="252"/>
      <c r="BDW9" s="252"/>
      <c r="BDX9" s="252"/>
      <c r="BDY9" s="252"/>
      <c r="BDZ9" s="252"/>
      <c r="BEA9" s="252"/>
      <c r="BEB9" s="252"/>
      <c r="BEC9" s="252"/>
      <c r="BED9" s="252"/>
      <c r="BEE9" s="252"/>
      <c r="BEF9" s="252"/>
      <c r="BEG9" s="252"/>
      <c r="BEH9" s="252"/>
      <c r="BEI9" s="252"/>
      <c r="BEJ9" s="252"/>
      <c r="BEK9" s="252"/>
      <c r="BEL9" s="252"/>
      <c r="BEM9" s="252"/>
      <c r="BEN9" s="252"/>
      <c r="BEO9" s="252"/>
      <c r="BEP9" s="252"/>
      <c r="BEQ9" s="252"/>
      <c r="BER9" s="252"/>
      <c r="BES9" s="252"/>
      <c r="BET9" s="252"/>
      <c r="BEU9" s="252"/>
      <c r="BEV9" s="252"/>
      <c r="BEW9" s="252"/>
      <c r="BEX9" s="252"/>
      <c r="BEY9" s="252"/>
      <c r="BEZ9" s="252"/>
      <c r="BFA9" s="252"/>
      <c r="BFB9" s="252"/>
      <c r="BFC9" s="252"/>
      <c r="BFD9" s="252"/>
      <c r="BFE9" s="252"/>
      <c r="BFF9" s="252"/>
      <c r="BFG9" s="252"/>
      <c r="BFH9" s="252"/>
      <c r="BFI9" s="252"/>
      <c r="BFJ9" s="252"/>
      <c r="BFK9" s="252"/>
      <c r="BFL9" s="252"/>
      <c r="BFM9" s="252"/>
      <c r="BFN9" s="252"/>
      <c r="BFO9" s="252"/>
      <c r="BFP9" s="252"/>
      <c r="BFQ9" s="252"/>
      <c r="BFR9" s="252"/>
      <c r="BFS9" s="252"/>
      <c r="BFT9" s="252"/>
      <c r="BFU9" s="252"/>
      <c r="BFV9" s="252"/>
      <c r="BFW9" s="252"/>
      <c r="BFX9" s="252"/>
      <c r="BFY9" s="252"/>
      <c r="BFZ9" s="252"/>
      <c r="BGA9" s="252"/>
      <c r="BGB9" s="252"/>
      <c r="BGC9" s="252"/>
      <c r="BGD9" s="252"/>
      <c r="BGE9" s="252"/>
      <c r="BGF9" s="252"/>
      <c r="BGG9" s="252"/>
      <c r="BGH9" s="252"/>
      <c r="BGI9" s="252"/>
      <c r="BGJ9" s="252"/>
      <c r="BGK9" s="252"/>
      <c r="BGL9" s="252"/>
      <c r="BGM9" s="252"/>
      <c r="BGN9" s="252"/>
      <c r="BGO9" s="252"/>
      <c r="BGP9" s="252"/>
      <c r="BGQ9" s="252"/>
      <c r="BGR9" s="252"/>
      <c r="BGS9" s="252"/>
      <c r="BGT9" s="252"/>
      <c r="BGU9" s="252"/>
      <c r="BGV9" s="252"/>
      <c r="BGW9" s="252"/>
      <c r="BGX9" s="252"/>
      <c r="BGY9" s="252"/>
      <c r="BGZ9" s="252"/>
      <c r="BHA9" s="252"/>
      <c r="BHB9" s="252"/>
      <c r="BHC9" s="252"/>
      <c r="BHD9" s="252"/>
      <c r="BHE9" s="252"/>
      <c r="BHF9" s="252"/>
      <c r="BHG9" s="252"/>
      <c r="BHH9" s="252"/>
      <c r="BHI9" s="252"/>
      <c r="BHJ9" s="252"/>
      <c r="BHK9" s="252"/>
      <c r="BHL9" s="252"/>
      <c r="BHM9" s="252"/>
      <c r="BHN9" s="252"/>
      <c r="BHO9" s="252"/>
      <c r="BHP9" s="252"/>
      <c r="BHQ9" s="252"/>
      <c r="BHR9" s="252"/>
      <c r="BHS9" s="252"/>
      <c r="BHT9" s="252"/>
      <c r="BHU9" s="252"/>
      <c r="BHV9" s="252"/>
      <c r="BHW9" s="252"/>
      <c r="BHX9" s="252"/>
      <c r="BHY9" s="252"/>
      <c r="BHZ9" s="252"/>
      <c r="BIA9" s="252"/>
      <c r="BIB9" s="252"/>
      <c r="BIC9" s="252"/>
      <c r="BID9" s="252"/>
      <c r="BIE9" s="252"/>
      <c r="BIF9" s="252"/>
      <c r="BIG9" s="252"/>
      <c r="BIH9" s="252"/>
      <c r="BII9" s="252"/>
      <c r="BIJ9" s="252"/>
      <c r="BIK9" s="252"/>
      <c r="BIL9" s="252"/>
      <c r="BIM9" s="252"/>
      <c r="BIN9" s="252"/>
      <c r="BIO9" s="252"/>
      <c r="BIP9" s="252"/>
      <c r="BIQ9" s="252"/>
      <c r="BIR9" s="252"/>
      <c r="BIS9" s="252"/>
      <c r="BIT9" s="252"/>
      <c r="BIU9" s="252"/>
      <c r="BIV9" s="252"/>
      <c r="BIW9" s="252"/>
      <c r="BIX9" s="252"/>
      <c r="BIY9" s="252"/>
      <c r="BIZ9" s="252"/>
      <c r="BJA9" s="252"/>
      <c r="BJB9" s="252"/>
      <c r="BJC9" s="252"/>
      <c r="BJD9" s="252"/>
      <c r="BJE9" s="252"/>
      <c r="BJF9" s="252"/>
      <c r="BJG9" s="252"/>
      <c r="BJH9" s="252"/>
      <c r="BJI9" s="252"/>
      <c r="BJJ9" s="252"/>
      <c r="BJK9" s="252"/>
      <c r="BJL9" s="252"/>
      <c r="BJM9" s="252"/>
      <c r="BJN9" s="252"/>
      <c r="BJO9" s="252"/>
      <c r="BJP9" s="252"/>
      <c r="BJQ9" s="252"/>
      <c r="BJR9" s="252"/>
      <c r="BJS9" s="252"/>
      <c r="BJT9" s="252"/>
      <c r="BJU9" s="252"/>
      <c r="BJV9" s="252"/>
      <c r="BJW9" s="252"/>
      <c r="BJX9" s="252"/>
      <c r="BJY9" s="252"/>
      <c r="BJZ9" s="252"/>
      <c r="BKA9" s="252"/>
      <c r="BKB9" s="252"/>
      <c r="BKC9" s="252"/>
      <c r="BKD9" s="252"/>
      <c r="BKE9" s="252"/>
      <c r="BKF9" s="252"/>
      <c r="BKG9" s="252"/>
      <c r="BKH9" s="252"/>
      <c r="BKI9" s="252"/>
      <c r="BKJ9" s="252"/>
      <c r="BKK9" s="252"/>
      <c r="BKL9" s="252"/>
      <c r="BKM9" s="252"/>
      <c r="BKN9" s="252"/>
      <c r="BKO9" s="252"/>
      <c r="BKP9" s="252"/>
      <c r="BKQ9" s="252"/>
      <c r="BKR9" s="252"/>
      <c r="BKS9" s="252"/>
      <c r="BKT9" s="252"/>
      <c r="BKU9" s="252"/>
      <c r="BKV9" s="252"/>
      <c r="BKW9" s="252"/>
      <c r="BKX9" s="252"/>
      <c r="BKY9" s="252"/>
      <c r="BKZ9" s="252"/>
      <c r="BLA9" s="252"/>
      <c r="BLB9" s="252"/>
      <c r="BLC9" s="252"/>
      <c r="BLD9" s="252"/>
      <c r="BLE9" s="252"/>
      <c r="BLF9" s="252"/>
      <c r="BLG9" s="252"/>
      <c r="BLH9" s="252"/>
      <c r="BLI9" s="252"/>
      <c r="BLJ9" s="252"/>
      <c r="BLK9" s="252"/>
      <c r="BLL9" s="252"/>
      <c r="BLM9" s="252"/>
      <c r="BLN9" s="252"/>
      <c r="BLO9" s="252"/>
      <c r="BLP9" s="252"/>
      <c r="BLQ9" s="252"/>
      <c r="BLR9" s="252"/>
      <c r="BLS9" s="252"/>
      <c r="BLT9" s="252"/>
      <c r="BLU9" s="252"/>
      <c r="BLV9" s="252"/>
      <c r="BLW9" s="252"/>
      <c r="BLX9" s="252"/>
      <c r="BLY9" s="252"/>
      <c r="BLZ9" s="252"/>
      <c r="BMA9" s="252"/>
      <c r="BMB9" s="252"/>
      <c r="BMC9" s="252"/>
      <c r="BMD9" s="252"/>
      <c r="BME9" s="252"/>
      <c r="BMF9" s="252"/>
      <c r="BMG9" s="252"/>
      <c r="BMH9" s="252"/>
      <c r="BMI9" s="252"/>
      <c r="BMJ9" s="252"/>
      <c r="BMK9" s="252"/>
      <c r="BML9" s="252"/>
      <c r="BMM9" s="252"/>
      <c r="BMN9" s="252"/>
      <c r="BMO9" s="252"/>
      <c r="BMP9" s="252"/>
      <c r="BMQ9" s="252"/>
      <c r="BMR9" s="252"/>
      <c r="BMS9" s="252"/>
      <c r="BMT9" s="252"/>
      <c r="BMU9" s="252"/>
      <c r="BMV9" s="252"/>
      <c r="BMW9" s="252"/>
      <c r="BMX9" s="252"/>
      <c r="BMY9" s="252"/>
      <c r="BMZ9" s="252"/>
      <c r="BNA9" s="252"/>
      <c r="BNB9" s="252"/>
      <c r="BNC9" s="252"/>
      <c r="BND9" s="252"/>
      <c r="BNE9" s="252"/>
      <c r="BNF9" s="252"/>
      <c r="BNG9" s="252"/>
      <c r="BNH9" s="252"/>
      <c r="BNI9" s="252"/>
      <c r="BNJ9" s="252"/>
      <c r="BNK9" s="252"/>
      <c r="BNL9" s="252"/>
      <c r="BNM9" s="252"/>
      <c r="BNN9" s="252"/>
      <c r="BNO9" s="252"/>
      <c r="BNP9" s="252"/>
      <c r="BNQ9" s="252"/>
      <c r="BNR9" s="252"/>
      <c r="BNS9" s="252"/>
      <c r="BNT9" s="252"/>
      <c r="BNU9" s="252"/>
      <c r="BNV9" s="252"/>
      <c r="BNW9" s="252"/>
      <c r="BNX9" s="252"/>
      <c r="BNY9" s="252"/>
      <c r="BNZ9" s="252"/>
      <c r="BOA9" s="252"/>
      <c r="BOB9" s="252"/>
      <c r="BOC9" s="252"/>
      <c r="BOD9" s="252"/>
      <c r="BOE9" s="252"/>
      <c r="BOF9" s="252"/>
      <c r="BOG9" s="252"/>
      <c r="BOH9" s="252"/>
      <c r="BOI9" s="252"/>
      <c r="BOJ9" s="252"/>
      <c r="BOK9" s="252"/>
      <c r="BOL9" s="252"/>
      <c r="BOM9" s="252"/>
      <c r="BON9" s="252"/>
      <c r="BOO9" s="252"/>
      <c r="BOP9" s="252"/>
      <c r="BOQ9" s="252"/>
      <c r="BOR9" s="252"/>
      <c r="BOS9" s="252"/>
      <c r="BOT9" s="252"/>
      <c r="BOU9" s="252"/>
      <c r="BOV9" s="252"/>
      <c r="BOW9" s="252"/>
      <c r="BOX9" s="252"/>
      <c r="BOY9" s="252"/>
      <c r="BOZ9" s="252"/>
      <c r="BPA9" s="252"/>
      <c r="BPB9" s="252"/>
      <c r="BPC9" s="252"/>
      <c r="BPD9" s="252"/>
      <c r="BPE9" s="252"/>
      <c r="BPF9" s="252"/>
      <c r="BPG9" s="252"/>
      <c r="BPH9" s="252"/>
      <c r="BPI9" s="252"/>
      <c r="BPJ9" s="252"/>
      <c r="BPK9" s="252"/>
      <c r="BPL9" s="252"/>
      <c r="BPM9" s="252"/>
      <c r="BPN9" s="252"/>
      <c r="BPO9" s="252"/>
      <c r="BPP9" s="252"/>
      <c r="BPQ9" s="252"/>
      <c r="BPR9" s="252"/>
      <c r="BPS9" s="252"/>
      <c r="BPT9" s="252"/>
      <c r="BPU9" s="252"/>
      <c r="BPV9" s="252"/>
      <c r="BPW9" s="252"/>
      <c r="BPX9" s="252"/>
      <c r="BPY9" s="252"/>
      <c r="BPZ9" s="252"/>
      <c r="BQA9" s="252"/>
      <c r="BQB9" s="252"/>
      <c r="BQC9" s="252"/>
      <c r="BQD9" s="252"/>
      <c r="BQE9" s="252"/>
      <c r="BQF9" s="252"/>
      <c r="BQG9" s="252"/>
      <c r="BQH9" s="252"/>
      <c r="BQI9" s="252"/>
      <c r="BQJ9" s="252"/>
      <c r="BQK9" s="252"/>
      <c r="BQL9" s="252"/>
      <c r="BQM9" s="252"/>
      <c r="BQN9" s="252"/>
      <c r="BQO9" s="252"/>
      <c r="BQP9" s="252"/>
      <c r="BQQ9" s="252"/>
      <c r="BQR9" s="252"/>
      <c r="BQS9" s="252"/>
      <c r="BQT9" s="252"/>
      <c r="BQU9" s="252"/>
      <c r="BQV9" s="252"/>
      <c r="BQW9" s="252"/>
      <c r="BQX9" s="252"/>
      <c r="BQY9" s="252"/>
      <c r="BQZ9" s="252"/>
      <c r="BRA9" s="252"/>
      <c r="BRB9" s="252"/>
      <c r="BRC9" s="252"/>
      <c r="BRD9" s="252"/>
      <c r="BRE9" s="252"/>
      <c r="BRF9" s="252"/>
      <c r="BRG9" s="252"/>
      <c r="BRH9" s="252"/>
      <c r="BRI9" s="252"/>
      <c r="BRJ9" s="252"/>
      <c r="BRK9" s="252"/>
      <c r="BRL9" s="252"/>
      <c r="BRM9" s="252"/>
      <c r="BRN9" s="252"/>
      <c r="BRO9" s="252"/>
      <c r="BRP9" s="252"/>
      <c r="BRQ9" s="252"/>
      <c r="BRR9" s="252"/>
      <c r="BRS9" s="252"/>
      <c r="BRT9" s="252"/>
      <c r="BRU9" s="252"/>
      <c r="BRV9" s="252"/>
      <c r="BRW9" s="252"/>
      <c r="BRX9" s="252"/>
      <c r="BRY9" s="252"/>
      <c r="BRZ9" s="252"/>
      <c r="BSA9" s="252"/>
      <c r="BSB9" s="252"/>
      <c r="BSC9" s="252"/>
      <c r="BSD9" s="252"/>
      <c r="BSE9" s="252"/>
      <c r="BSF9" s="252"/>
      <c r="BSG9" s="252"/>
      <c r="BSH9" s="252"/>
      <c r="BSI9" s="252"/>
      <c r="BSJ9" s="252"/>
      <c r="BSK9" s="252"/>
      <c r="BSL9" s="252"/>
      <c r="BSM9" s="252"/>
      <c r="BSN9" s="252"/>
      <c r="BSO9" s="252"/>
      <c r="BSP9" s="252"/>
      <c r="BSQ9" s="252"/>
      <c r="BSR9" s="252"/>
      <c r="BSS9" s="252"/>
      <c r="BST9" s="252"/>
      <c r="BSU9" s="252"/>
      <c r="BSV9" s="252"/>
      <c r="BSW9" s="252"/>
      <c r="BSX9" s="252"/>
      <c r="BSY9" s="252"/>
      <c r="BSZ9" s="252"/>
      <c r="BTA9" s="252"/>
      <c r="BTB9" s="252"/>
      <c r="BTC9" s="252"/>
      <c r="BTD9" s="252"/>
      <c r="BTE9" s="252"/>
      <c r="BTF9" s="252"/>
      <c r="BTG9" s="252"/>
      <c r="BTH9" s="252"/>
      <c r="BTI9" s="252"/>
      <c r="BTJ9" s="252"/>
      <c r="BTK9" s="252"/>
      <c r="BTL9" s="252"/>
      <c r="BTM9" s="252"/>
      <c r="BTN9" s="252"/>
      <c r="BTO9" s="252"/>
      <c r="BTP9" s="252"/>
      <c r="BTQ9" s="252"/>
      <c r="BTR9" s="252"/>
      <c r="BTS9" s="252"/>
      <c r="BTT9" s="252"/>
      <c r="BTU9" s="252"/>
      <c r="BTV9" s="252"/>
      <c r="BTW9" s="252"/>
      <c r="BTX9" s="252"/>
      <c r="BTY9" s="252"/>
      <c r="BTZ9" s="252"/>
      <c r="BUA9" s="252"/>
      <c r="BUB9" s="252"/>
      <c r="BUC9" s="252"/>
      <c r="BUD9" s="252"/>
      <c r="BUE9" s="252"/>
      <c r="BUF9" s="252"/>
      <c r="BUG9" s="252"/>
      <c r="BUH9" s="252"/>
      <c r="BUI9" s="252"/>
      <c r="BUJ9" s="252"/>
      <c r="BUK9" s="252"/>
      <c r="BUL9" s="252"/>
      <c r="BUM9" s="252"/>
      <c r="BUN9" s="252"/>
      <c r="BUO9" s="252"/>
      <c r="BUP9" s="252"/>
      <c r="BUQ9" s="252"/>
      <c r="BUR9" s="252"/>
      <c r="BUS9" s="252"/>
      <c r="BUT9" s="252"/>
      <c r="BUU9" s="252"/>
      <c r="BUV9" s="252"/>
      <c r="BUW9" s="252"/>
      <c r="BUX9" s="252"/>
      <c r="BUY9" s="252"/>
      <c r="BUZ9" s="252"/>
      <c r="BVA9" s="252"/>
      <c r="BVB9" s="252"/>
      <c r="BVC9" s="252"/>
      <c r="BVD9" s="252"/>
      <c r="BVE9" s="252"/>
      <c r="BVF9" s="252"/>
      <c r="BVG9" s="252"/>
      <c r="BVH9" s="252"/>
      <c r="BVI9" s="252"/>
      <c r="BVJ9" s="252"/>
      <c r="BVK9" s="252"/>
      <c r="BVL9" s="252"/>
      <c r="BVM9" s="252"/>
      <c r="BVN9" s="252"/>
      <c r="BVO9" s="252"/>
      <c r="BVP9" s="252"/>
      <c r="BVQ9" s="252"/>
      <c r="BVR9" s="252"/>
      <c r="BVS9" s="252"/>
      <c r="BVT9" s="252"/>
      <c r="BVU9" s="252"/>
      <c r="BVV9" s="252"/>
      <c r="BVW9" s="252"/>
      <c r="BVX9" s="252"/>
      <c r="BVY9" s="252"/>
      <c r="BVZ9" s="252"/>
      <c r="BWA9" s="252"/>
      <c r="BWB9" s="252"/>
      <c r="BWC9" s="252"/>
      <c r="BWD9" s="252"/>
      <c r="BWE9" s="252"/>
      <c r="BWF9" s="252"/>
      <c r="BWG9" s="252"/>
      <c r="BWH9" s="252"/>
      <c r="BWI9" s="252"/>
      <c r="BWJ9" s="252"/>
      <c r="BWK9" s="252"/>
      <c r="BWL9" s="252"/>
      <c r="BWM9" s="252"/>
      <c r="BWN9" s="252"/>
      <c r="BWO9" s="252"/>
      <c r="BWP9" s="252"/>
      <c r="BWQ9" s="252"/>
      <c r="BWR9" s="252"/>
      <c r="BWS9" s="252"/>
      <c r="BWT9" s="252"/>
      <c r="BWU9" s="252"/>
      <c r="BWV9" s="252"/>
      <c r="BWW9" s="252"/>
      <c r="BWX9" s="252"/>
      <c r="BWY9" s="252"/>
      <c r="BWZ9" s="252"/>
      <c r="BXA9" s="252"/>
      <c r="BXB9" s="252"/>
      <c r="BXC9" s="252"/>
      <c r="BXD9" s="252"/>
      <c r="BXE9" s="252"/>
      <c r="BXF9" s="252"/>
      <c r="BXG9" s="252"/>
      <c r="BXH9" s="252"/>
      <c r="BXI9" s="252"/>
      <c r="BXJ9" s="252"/>
      <c r="BXK9" s="252"/>
      <c r="BXL9" s="252"/>
      <c r="BXM9" s="252"/>
      <c r="BXN9" s="252"/>
      <c r="BXO9" s="252"/>
      <c r="BXP9" s="252"/>
      <c r="BXQ9" s="252"/>
      <c r="BXR9" s="252"/>
      <c r="BXS9" s="252"/>
      <c r="BXT9" s="252"/>
      <c r="BXU9" s="252"/>
      <c r="BXV9" s="252"/>
      <c r="BXW9" s="252"/>
      <c r="BXX9" s="252"/>
      <c r="BXY9" s="252"/>
      <c r="BXZ9" s="252"/>
      <c r="BYA9" s="252"/>
      <c r="BYB9" s="252"/>
      <c r="BYC9" s="252"/>
      <c r="BYD9" s="252"/>
      <c r="BYE9" s="252"/>
      <c r="BYF9" s="252"/>
      <c r="BYG9" s="252"/>
      <c r="BYH9" s="252"/>
      <c r="BYI9" s="252"/>
      <c r="BYJ9" s="252"/>
      <c r="BYK9" s="252"/>
      <c r="BYL9" s="252"/>
      <c r="BYM9" s="252"/>
      <c r="BYN9" s="252"/>
      <c r="BYO9" s="252"/>
      <c r="BYP9" s="252"/>
      <c r="BYQ9" s="252"/>
      <c r="BYR9" s="252"/>
      <c r="BYS9" s="252"/>
      <c r="BYT9" s="252"/>
      <c r="BYU9" s="252"/>
      <c r="BYV9" s="252"/>
      <c r="BYW9" s="252"/>
      <c r="BYX9" s="252"/>
      <c r="BYY9" s="252"/>
      <c r="BYZ9" s="252"/>
      <c r="BZA9" s="252"/>
      <c r="BZB9" s="252"/>
      <c r="BZC9" s="252"/>
      <c r="BZD9" s="252"/>
      <c r="BZE9" s="252"/>
      <c r="BZF9" s="252"/>
      <c r="BZG9" s="252"/>
      <c r="BZH9" s="252"/>
      <c r="BZI9" s="252"/>
      <c r="BZJ9" s="252"/>
      <c r="BZK9" s="252"/>
      <c r="BZL9" s="252"/>
      <c r="BZM9" s="252"/>
      <c r="BZN9" s="252"/>
      <c r="BZO9" s="252"/>
      <c r="BZP9" s="252"/>
      <c r="BZQ9" s="252"/>
      <c r="BZR9" s="252"/>
      <c r="BZS9" s="252"/>
      <c r="BZT9" s="252"/>
      <c r="BZU9" s="252"/>
      <c r="BZV9" s="252"/>
      <c r="BZW9" s="252"/>
      <c r="BZX9" s="252"/>
      <c r="BZY9" s="252"/>
      <c r="BZZ9" s="252"/>
      <c r="CAA9" s="252"/>
      <c r="CAB9" s="252"/>
      <c r="CAC9" s="252"/>
      <c r="CAD9" s="252"/>
      <c r="CAE9" s="252"/>
      <c r="CAF9" s="252"/>
      <c r="CAG9" s="252"/>
      <c r="CAH9" s="252"/>
      <c r="CAI9" s="252"/>
      <c r="CAJ9" s="252"/>
      <c r="CAK9" s="252"/>
      <c r="CAL9" s="252"/>
      <c r="CAM9" s="252"/>
      <c r="CAN9" s="252"/>
      <c r="CAO9" s="252"/>
      <c r="CAP9" s="252"/>
      <c r="CAQ9" s="252"/>
      <c r="CAR9" s="252"/>
      <c r="CAS9" s="252"/>
      <c r="CAT9" s="252"/>
      <c r="CAU9" s="252"/>
      <c r="CAV9" s="252"/>
      <c r="CAW9" s="252"/>
      <c r="CAX9" s="252"/>
      <c r="CAY9" s="252"/>
      <c r="CAZ9" s="252"/>
      <c r="CBA9" s="252"/>
      <c r="CBB9" s="252"/>
      <c r="CBC9" s="252"/>
      <c r="CBD9" s="252"/>
      <c r="CBE9" s="252"/>
      <c r="CBF9" s="252"/>
      <c r="CBG9" s="252"/>
      <c r="CBH9" s="252"/>
      <c r="CBI9" s="252"/>
      <c r="CBJ9" s="252"/>
      <c r="CBK9" s="252"/>
      <c r="CBL9" s="252"/>
      <c r="CBM9" s="252"/>
      <c r="CBN9" s="252"/>
      <c r="CBO9" s="252"/>
      <c r="CBP9" s="252"/>
      <c r="CBQ9" s="252"/>
      <c r="CBR9" s="252"/>
      <c r="CBS9" s="252"/>
      <c r="CBT9" s="252"/>
      <c r="CBU9" s="252"/>
      <c r="CBV9" s="252"/>
      <c r="CBW9" s="252"/>
      <c r="CBX9" s="252"/>
      <c r="CBY9" s="252"/>
      <c r="CBZ9" s="252"/>
      <c r="CCA9" s="252"/>
      <c r="CCB9" s="252"/>
      <c r="CCC9" s="252"/>
      <c r="CCD9" s="252"/>
      <c r="CCE9" s="252"/>
      <c r="CCF9" s="252"/>
      <c r="CCG9" s="252"/>
      <c r="CCH9" s="252"/>
      <c r="CCI9" s="252"/>
      <c r="CCJ9" s="252"/>
      <c r="CCK9" s="252"/>
      <c r="CCL9" s="252"/>
      <c r="CCM9" s="252"/>
      <c r="CCN9" s="252"/>
      <c r="CCO9" s="252"/>
      <c r="CCP9" s="252"/>
      <c r="CCQ9" s="252"/>
      <c r="CCR9" s="252"/>
      <c r="CCS9" s="252"/>
      <c r="CCT9" s="252"/>
      <c r="CCU9" s="252"/>
      <c r="CCV9" s="252"/>
      <c r="CCW9" s="252"/>
    </row>
    <row r="10" spans="1:2129 15008:15057" ht="16.350000000000001" customHeight="1" x14ac:dyDescent="0.25">
      <c r="A10" s="216" t="s">
        <v>55</v>
      </c>
      <c r="B10" s="216">
        <v>1</v>
      </c>
      <c r="C10" s="216"/>
      <c r="D10" s="216"/>
      <c r="E10" s="216"/>
      <c r="F10" s="216"/>
      <c r="G10" s="224">
        <v>1</v>
      </c>
      <c r="H10" s="225" t="s">
        <v>236</v>
      </c>
      <c r="I10" s="225"/>
      <c r="J10" s="226"/>
      <c r="K10" s="227"/>
      <c r="L10" s="228"/>
      <c r="M10" s="229"/>
      <c r="N10" s="230">
        <v>43525</v>
      </c>
      <c r="O10" s="230">
        <v>43526</v>
      </c>
      <c r="P10" s="229">
        <v>1</v>
      </c>
      <c r="Q10" s="231">
        <v>1</v>
      </c>
      <c r="R10" s="228"/>
      <c r="S10" s="228"/>
      <c r="T10" s="229"/>
      <c r="U10" s="232"/>
      <c r="V10" s="232"/>
      <c r="W10" s="232"/>
      <c r="X10" s="233"/>
      <c r="Y10" s="234"/>
      <c r="Z10" s="235"/>
      <c r="AA10" s="271"/>
      <c r="AB10" s="236"/>
      <c r="AC10" s="216"/>
      <c r="AD10" s="216"/>
      <c r="AE10" s="216"/>
      <c r="AF10" s="216"/>
      <c r="AG10" s="216"/>
      <c r="AH10" s="216"/>
      <c r="AI10" s="216"/>
      <c r="AJ10" s="216"/>
      <c r="AK10" s="216"/>
      <c r="AL10" s="216"/>
      <c r="AM10" s="216"/>
      <c r="AN10" s="216"/>
      <c r="AO10" s="216"/>
      <c r="AP10" s="216"/>
      <c r="AQ10" s="216"/>
      <c r="AR10" s="216"/>
      <c r="AS10" s="216"/>
      <c r="AT10" s="216"/>
      <c r="AU10" s="216"/>
      <c r="AV10" s="216"/>
      <c r="AW10" s="216"/>
      <c r="AX10" s="216"/>
      <c r="AY10" s="216"/>
      <c r="AZ10" s="216"/>
      <c r="BA10" s="216"/>
      <c r="BB10" s="216"/>
      <c r="BC10" s="216"/>
      <c r="BD10" s="216"/>
      <c r="BE10" s="216"/>
      <c r="BF10" s="216"/>
      <c r="BG10" s="216"/>
      <c r="BH10" s="216"/>
      <c r="BI10" s="216"/>
      <c r="BJ10" s="216"/>
      <c r="BK10" s="216"/>
      <c r="BL10" s="216"/>
      <c r="BM10" s="216"/>
      <c r="BN10" s="216"/>
      <c r="BO10" s="216"/>
      <c r="BP10" s="216"/>
      <c r="BQ10" s="216"/>
      <c r="BR10" s="216"/>
      <c r="BS10" s="216"/>
      <c r="BT10" s="216"/>
      <c r="BU10" s="216"/>
      <c r="BV10" s="216"/>
      <c r="BW10" s="216"/>
      <c r="BX10" s="216"/>
      <c r="BY10" s="216"/>
      <c r="BZ10" s="216"/>
      <c r="CA10" s="216"/>
      <c r="CB10" s="216"/>
      <c r="CC10" s="216"/>
      <c r="CD10" s="216"/>
      <c r="CE10" s="216"/>
      <c r="CF10" s="216"/>
    </row>
    <row r="11" spans="1:2129 15008:15057" ht="16.350000000000001" customHeight="1" x14ac:dyDescent="0.25">
      <c r="G11" s="53"/>
      <c r="H11" s="59" t="s">
        <v>53</v>
      </c>
      <c r="I11" s="58"/>
      <c r="J11" s="137"/>
      <c r="K11" s="57"/>
      <c r="L11" s="56"/>
      <c r="M11" s="55"/>
      <c r="N11" s="202"/>
      <c r="O11" s="202"/>
      <c r="P11" s="55"/>
      <c r="Q11" s="132"/>
      <c r="R11" s="56"/>
      <c r="S11" s="56"/>
      <c r="T11" s="55"/>
      <c r="U11" s="146"/>
      <c r="V11" s="146"/>
      <c r="W11" s="146"/>
      <c r="X11" s="54"/>
      <c r="Y11" s="54"/>
      <c r="Z11" s="54"/>
      <c r="AA11" s="54"/>
      <c r="AB11" s="54"/>
    </row>
  </sheetData>
  <sheetProtection algorithmName="SHA-512" hashValue="Tft22JyTlw4Qkqh4sRARhFn+3WnokxXhL6P2kD4f8BrfVGW0dSHRvqJhISEgeeoQYPS8TrZtERbX8jtwG0Sx0Q==" saltValue="6GPSDseVcbF42t98gLVEGA==" spinCount="100000" sheet="1" objects="1" scenarios="1" formatCells="0" formatColumns="0" formatRows="0" insertHyperlinks="0" autoFilter="0"/>
  <pageMargins left="0.25" right="0.25" top="0.5" bottom="0.5" header="0.5" footer="0.25"/>
  <pageSetup paperSize="8" scale="79" fitToHeight="0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GR13"/>
  <sheetViews>
    <sheetView workbookViewId="0">
      <selection activeCell="K1" sqref="K1"/>
    </sheetView>
  </sheetViews>
  <sheetFormatPr defaultRowHeight="15" x14ac:dyDescent="0.25"/>
  <cols>
    <col min="1" max="1" width="15" bestFit="1" customWidth="1"/>
    <col min="2" max="2" width="13.5703125" bestFit="1" customWidth="1"/>
    <col min="6" max="6" width="12.28515625" style="152" bestFit="1" customWidth="1"/>
    <col min="7" max="7" width="13.5703125" style="153" bestFit="1" customWidth="1"/>
    <col min="11" max="11" width="2.140625" customWidth="1"/>
  </cols>
  <sheetData>
    <row r="1" spans="1:90 15072:15072" x14ac:dyDescent="0.25">
      <c r="A1" s="154" t="s">
        <v>164</v>
      </c>
      <c r="B1" s="154" t="s">
        <v>69</v>
      </c>
      <c r="C1" s="154"/>
      <c r="D1" s="154"/>
      <c r="E1" s="154"/>
      <c r="F1" s="155" t="s">
        <v>166</v>
      </c>
      <c r="G1" s="156" t="s">
        <v>165</v>
      </c>
      <c r="H1" s="154"/>
      <c r="K1" s="189" t="s">
        <v>207</v>
      </c>
      <c r="L1" s="189"/>
      <c r="M1" s="189"/>
      <c r="N1" s="189"/>
      <c r="O1" s="189"/>
      <c r="P1" s="189"/>
      <c r="Q1" s="189"/>
      <c r="X1" s="157" t="s">
        <v>168</v>
      </c>
      <c r="Y1" s="157" t="s">
        <v>181</v>
      </c>
      <c r="Z1" s="157" t="s">
        <v>171</v>
      </c>
      <c r="AA1" s="157" t="s">
        <v>170</v>
      </c>
      <c r="AB1" s="157" t="s">
        <v>142</v>
      </c>
      <c r="AC1" s="157" t="s">
        <v>172</v>
      </c>
      <c r="AD1" s="157" t="s">
        <v>173</v>
      </c>
      <c r="AE1" s="157" t="s">
        <v>174</v>
      </c>
      <c r="AF1" s="157" t="s">
        <v>175</v>
      </c>
      <c r="AG1" s="157" t="s">
        <v>176</v>
      </c>
      <c r="AH1" s="157" t="s">
        <v>177</v>
      </c>
      <c r="AI1" s="157" t="s">
        <v>182</v>
      </c>
      <c r="AJ1" s="157" t="s">
        <v>183</v>
      </c>
      <c r="AK1" s="157" t="s">
        <v>184</v>
      </c>
      <c r="AL1" s="157" t="s">
        <v>186</v>
      </c>
      <c r="AM1" s="157" t="s">
        <v>187</v>
      </c>
      <c r="AN1" s="157" t="s">
        <v>190</v>
      </c>
      <c r="AO1" s="157" t="s">
        <v>191</v>
      </c>
      <c r="AP1" s="157" t="s">
        <v>188</v>
      </c>
      <c r="AQ1" s="157" t="s">
        <v>189</v>
      </c>
      <c r="AR1" s="157" t="s">
        <v>210</v>
      </c>
      <c r="BA1" s="50"/>
      <c r="BB1" s="50"/>
      <c r="BC1" s="50"/>
      <c r="BD1" s="50"/>
      <c r="BE1" s="50"/>
      <c r="BF1" s="50"/>
      <c r="BG1" s="50"/>
      <c r="BH1" s="50"/>
      <c r="BI1" s="50"/>
      <c r="BJ1" s="50"/>
      <c r="BK1" s="50"/>
      <c r="BL1" s="50"/>
      <c r="BM1" s="50"/>
      <c r="CA1" t="s">
        <v>211</v>
      </c>
      <c r="CB1" t="s">
        <v>195</v>
      </c>
      <c r="CC1" t="s">
        <v>196</v>
      </c>
      <c r="CD1" t="s">
        <v>197</v>
      </c>
      <c r="CE1" t="s">
        <v>198</v>
      </c>
      <c r="CF1" t="s">
        <v>199</v>
      </c>
      <c r="CG1" t="s">
        <v>203</v>
      </c>
      <c r="CH1" t="s">
        <v>200</v>
      </c>
      <c r="CI1" t="s">
        <v>201</v>
      </c>
      <c r="CJ1" t="s">
        <v>202</v>
      </c>
      <c r="CK1" t="s">
        <v>204</v>
      </c>
      <c r="CL1" t="s">
        <v>205</v>
      </c>
      <c r="VGR1" t="s">
        <v>230</v>
      </c>
    </row>
    <row r="2" spans="1:90 15072:15072" x14ac:dyDescent="0.25">
      <c r="A2" s="154"/>
      <c r="B2" s="154"/>
      <c r="C2" s="154"/>
      <c r="D2" s="154"/>
      <c r="E2" s="154"/>
      <c r="H2" s="154"/>
      <c r="K2" s="190">
        <v>1</v>
      </c>
      <c r="L2" s="190" t="s">
        <v>193</v>
      </c>
      <c r="M2" s="190"/>
      <c r="N2" s="190"/>
      <c r="O2" s="190"/>
      <c r="P2" s="190"/>
      <c r="Q2" s="190"/>
      <c r="X2" t="s">
        <v>179</v>
      </c>
      <c r="Y2" t="s">
        <v>178</v>
      </c>
      <c r="Z2" s="192"/>
      <c r="AA2" s="191"/>
      <c r="AB2" s="1"/>
      <c r="AC2" s="170"/>
      <c r="AD2" s="184"/>
      <c r="AE2" s="183"/>
      <c r="AF2" s="194"/>
      <c r="AG2" s="171"/>
      <c r="AH2" s="185"/>
      <c r="AI2" s="1"/>
      <c r="AJ2" s="177"/>
      <c r="AK2">
        <v>2</v>
      </c>
      <c r="AL2" s="159"/>
      <c r="AM2" s="186"/>
      <c r="AN2" s="177"/>
      <c r="AO2" s="176"/>
      <c r="AP2" s="185"/>
      <c r="AQ2" s="49"/>
      <c r="AR2" s="181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CA2">
        <v>56</v>
      </c>
      <c r="CB2">
        <v>56</v>
      </c>
      <c r="CC2">
        <v>56</v>
      </c>
      <c r="CD2">
        <v>56</v>
      </c>
      <c r="CE2">
        <v>56</v>
      </c>
      <c r="CF2">
        <v>56</v>
      </c>
      <c r="CG2">
        <v>2</v>
      </c>
      <c r="CH2">
        <v>2</v>
      </c>
      <c r="CI2">
        <v>2</v>
      </c>
      <c r="CJ2">
        <v>2</v>
      </c>
      <c r="CK2">
        <v>2</v>
      </c>
      <c r="CL2">
        <v>2</v>
      </c>
    </row>
    <row r="3" spans="1:90 15072:15072" x14ac:dyDescent="0.25">
      <c r="A3" s="154"/>
      <c r="B3" s="154"/>
      <c r="C3" s="154"/>
      <c r="D3" s="154"/>
      <c r="E3" s="154"/>
      <c r="F3" s="155"/>
      <c r="G3" s="156"/>
      <c r="H3" s="154"/>
      <c r="K3" s="190">
        <v>2</v>
      </c>
      <c r="L3" s="190" t="s">
        <v>194</v>
      </c>
      <c r="M3" s="190"/>
      <c r="N3" s="190"/>
      <c r="O3" s="190"/>
      <c r="P3" s="190"/>
      <c r="Q3" s="190"/>
      <c r="X3" t="s">
        <v>178</v>
      </c>
      <c r="Z3" s="199"/>
      <c r="AA3" s="169"/>
      <c r="AB3" s="198"/>
      <c r="AC3" s="161"/>
      <c r="AD3" s="1"/>
      <c r="AE3" s="163"/>
      <c r="AF3" s="162"/>
      <c r="AG3" s="164"/>
      <c r="AH3" s="168"/>
      <c r="AI3" s="171"/>
      <c r="AJ3" s="176"/>
      <c r="AL3" s="173"/>
      <c r="AM3" s="187"/>
      <c r="AN3" s="158"/>
      <c r="AO3" s="188"/>
      <c r="AP3" s="49"/>
      <c r="AQ3" s="188"/>
      <c r="AR3" s="181"/>
    </row>
    <row r="4" spans="1:90 15072:15072" x14ac:dyDescent="0.25">
      <c r="A4" s="154"/>
      <c r="B4" s="154"/>
      <c r="C4" s="154"/>
      <c r="D4" s="154"/>
      <c r="E4" s="154"/>
      <c r="F4" s="155"/>
      <c r="G4" s="156"/>
      <c r="H4" s="154"/>
      <c r="K4" s="190">
        <v>3</v>
      </c>
      <c r="L4" s="190" t="s">
        <v>212</v>
      </c>
      <c r="M4" s="190"/>
      <c r="N4" s="190"/>
      <c r="O4" s="190"/>
      <c r="P4" s="190"/>
      <c r="Q4" s="190"/>
      <c r="X4" t="s">
        <v>180</v>
      </c>
      <c r="Z4" s="158"/>
      <c r="AA4" s="159"/>
      <c r="AB4" s="170"/>
      <c r="AC4" s="172"/>
      <c r="AD4" s="169"/>
      <c r="AE4" s="167"/>
      <c r="AF4" s="166"/>
      <c r="AG4" s="179"/>
      <c r="AH4" s="178"/>
      <c r="AI4" s="170"/>
      <c r="AJ4" s="158"/>
      <c r="AL4" s="159"/>
      <c r="AM4" s="193"/>
      <c r="AN4" s="195"/>
      <c r="AR4" s="181"/>
    </row>
    <row r="5" spans="1:90 15072:15072" x14ac:dyDescent="0.25">
      <c r="A5" s="154"/>
      <c r="B5" s="154"/>
      <c r="C5" s="154"/>
      <c r="D5" s="154"/>
      <c r="E5" s="154"/>
      <c r="F5" s="155"/>
      <c r="G5" s="156"/>
      <c r="H5" s="154"/>
      <c r="K5" s="190">
        <v>4</v>
      </c>
      <c r="L5" s="190" t="s">
        <v>167</v>
      </c>
      <c r="M5" s="190"/>
      <c r="N5" s="190"/>
      <c r="O5" s="190"/>
      <c r="P5" s="190"/>
      <c r="Q5" s="190"/>
      <c r="X5" t="s">
        <v>169</v>
      </c>
      <c r="Z5" s="165"/>
      <c r="AB5" s="182"/>
      <c r="AC5" s="175"/>
      <c r="AD5" s="174"/>
      <c r="AE5" s="183"/>
      <c r="AF5" s="162"/>
      <c r="AG5" s="180"/>
      <c r="AH5" s="164"/>
      <c r="AI5" s="181"/>
      <c r="AJ5" s="160"/>
      <c r="AL5" s="173"/>
      <c r="AM5" s="186"/>
      <c r="AN5" s="177"/>
      <c r="AO5" s="176"/>
      <c r="AP5" s="185"/>
      <c r="AQ5" s="49"/>
      <c r="AR5" s="181"/>
    </row>
    <row r="6" spans="1:90 15072:15072" x14ac:dyDescent="0.25">
      <c r="A6" s="154"/>
      <c r="B6" s="154"/>
      <c r="C6" s="154"/>
      <c r="D6" s="154"/>
      <c r="E6" s="154"/>
      <c r="F6" s="155"/>
      <c r="G6" s="156"/>
      <c r="H6" s="154"/>
      <c r="X6" t="s">
        <v>185</v>
      </c>
      <c r="Z6" s="199"/>
      <c r="AA6" s="169"/>
      <c r="AB6" s="198"/>
      <c r="AC6" s="161"/>
      <c r="AD6" s="1"/>
      <c r="AE6" s="163"/>
      <c r="AF6" s="162"/>
      <c r="AG6" s="164"/>
      <c r="AH6" s="168"/>
      <c r="AI6" s="171"/>
      <c r="AJ6" s="176"/>
      <c r="AL6" s="173"/>
      <c r="AM6" s="187"/>
      <c r="AN6" s="158"/>
      <c r="AO6" s="188"/>
      <c r="AP6" s="49"/>
      <c r="AQ6" s="188"/>
      <c r="AR6" s="181"/>
    </row>
    <row r="7" spans="1:90 15072:15072" x14ac:dyDescent="0.25">
      <c r="A7" s="154"/>
      <c r="B7" s="154"/>
      <c r="C7" s="154"/>
      <c r="D7" s="154"/>
      <c r="E7" s="154"/>
      <c r="F7" s="155"/>
      <c r="G7" s="156"/>
      <c r="H7" s="154"/>
    </row>
    <row r="8" spans="1:90 15072:15072" x14ac:dyDescent="0.25">
      <c r="A8" s="154"/>
      <c r="B8" s="154"/>
      <c r="C8" s="154"/>
      <c r="D8" s="154"/>
      <c r="E8" s="154"/>
      <c r="F8" s="155"/>
      <c r="G8" s="156"/>
      <c r="H8" s="154"/>
    </row>
    <row r="9" spans="1:90 15072:15072" x14ac:dyDescent="0.25">
      <c r="A9" s="154"/>
      <c r="B9" s="154"/>
      <c r="C9" s="154"/>
      <c r="D9" s="154"/>
      <c r="E9" s="154"/>
      <c r="F9" s="155"/>
      <c r="G9" s="156"/>
      <c r="H9" s="154"/>
    </row>
    <row r="10" spans="1:90 15072:15072" x14ac:dyDescent="0.25">
      <c r="A10" s="154"/>
      <c r="B10" s="154"/>
      <c r="C10" s="154"/>
      <c r="D10" s="154"/>
      <c r="E10" s="154"/>
      <c r="F10" s="155"/>
      <c r="G10" s="156"/>
      <c r="H10" s="154"/>
    </row>
    <row r="11" spans="1:90 15072:15072" x14ac:dyDescent="0.25">
      <c r="A11" s="154"/>
      <c r="B11" s="154"/>
      <c r="C11" s="154"/>
      <c r="D11" s="154"/>
      <c r="E11" s="154"/>
      <c r="F11" s="155"/>
      <c r="G11" s="156"/>
      <c r="H11" s="154"/>
    </row>
    <row r="12" spans="1:90 15072:15072" x14ac:dyDescent="0.25">
      <c r="A12" s="154"/>
      <c r="B12" s="154"/>
      <c r="C12" s="154"/>
      <c r="D12" s="154"/>
      <c r="E12" s="154"/>
      <c r="F12" s="155"/>
      <c r="G12" s="156"/>
      <c r="H12" s="154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</row>
    <row r="13" spans="1:90 15072:15072" x14ac:dyDescent="0.25">
      <c r="C13" s="154"/>
      <c r="D13" s="154"/>
      <c r="E13" s="154"/>
      <c r="F13" s="155"/>
      <c r="G13" s="156"/>
      <c r="H13" s="154"/>
    </row>
  </sheetData>
  <sortState ref="F2:G14">
    <sortCondition ref="F2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UpdateRHValues.UpdateRHValues">
                <anchor moveWithCells="1" sizeWithCells="1">
                  <from>
                    <xdr:col>11</xdr:col>
                    <xdr:colOff>95250</xdr:colOff>
                    <xdr:row>5</xdr:row>
                    <xdr:rowOff>142875</xdr:rowOff>
                  </from>
                  <to>
                    <xdr:col>13</xdr:col>
                    <xdr:colOff>257175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EditTask64.png" Type="http://schemas.openxmlformats.org/officeDocument/2006/relationships/image" Target="images/EditTask64.png"/><Relationship Id="addtaskbelowselection.png" Type="http://schemas.openxmlformats.org/officeDocument/2006/relationships/image" Target="images/addtaskbelowselection.png"/><Relationship Id="AddGanttChart64.png" Type="http://schemas.openxmlformats.org/officeDocument/2006/relationships/image" Target="images/AddGanttChart64.png"/><Relationship Id="Upgrade64.png" Type="http://schemas.openxmlformats.org/officeDocument/2006/relationships/image" Target="images/Upgrade64.png"/><Relationship Id="GotoEnd.png" Type="http://schemas.openxmlformats.org/officeDocument/2006/relationships/image" Target="images/GotoEnd.png"/><Relationship Id="MoreViews64.png" Type="http://schemas.openxmlformats.org/officeDocument/2006/relationships/image" Target="images/MoreViews64.png"/><Relationship Id="Settings64.png" Type="http://schemas.openxmlformats.org/officeDocument/2006/relationships/image" Target="images/Settings64.png"/><Relationship Id="GotoToday.png" Type="http://schemas.openxmlformats.org/officeDocument/2006/relationships/image" Target="images/GotoToday.png"/><Relationship Id="AddMilestone64.png" Type="http://schemas.openxmlformats.org/officeDocument/2006/relationships/image" Target="images/AddMilestone64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GotoStart.png" Type="http://schemas.openxmlformats.org/officeDocument/2006/relationships/image" Target="images/GotoStart.png"/><Relationship Id="Holidays64.png" Type="http://schemas.openxmlformats.org/officeDocument/2006/relationships/image" Target="images/Holidays64.png"/><Relationship Id="YearlyView64.png" Type="http://schemas.openxmlformats.org/officeDocument/2006/relationships/image" Target="images/YearlyView64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QuarterlyView64.png" Type="http://schemas.openxmlformats.org/officeDocument/2006/relationships/image" Target="images/QuarterlyView64.png"/><Relationship Id="DailyView64.png" Type="http://schemas.openxmlformats.org/officeDocument/2006/relationships/image" Target="images/daily64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MonthlyView64.png" Type="http://schemas.openxmlformats.org/officeDocument/2006/relationships/image" Target="images/monthly64.png"/><Relationship Id="dash64.png" Type="http://schemas.openxmlformats.org/officeDocument/2006/relationships/image" Target="images/dash64.png"/><Relationship Id="HalfYearlyView64.png" Type="http://schemas.openxmlformats.org/officeDocument/2006/relationships/image" Target="images/HalfYearlyView64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 getVisible="GetVisible">
          <button id="btnAddGanttChart" label="&amp;Add New Gantt Chart" onAction="OnActionButton" image="AddGanttChart64.png" getEnabled="GetEnabled" size="large" keytip="C" screentip="Adds a new Gantt Chart Worksheet"/>
          <button id="btnEditGanttChart" label="&amp;Edit Project Details" onAction="btnEditGanttChart" image="editproject.png" size="large" getEnabled="GetEnabled" keytip="P" screentip="Edits Gantt Chart"/>
        </group>
        <group id="grpDashboards" label="Dashboards" getVisible="GetVisible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 getVisible="GetVisible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99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1" label="Views" getVisible="GetVisible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VE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</group>
        <group id="grpDisplay5" label="Filters" getVisible="GetVisible"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</group>
        <group id="grpDisplay2" label="Navigate" getVisible="GetVisible"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</group>
        <group id="grpDisplay3" label="Groups" getVisible="GetVisible">
          <checkBox id="chkEnableGrouping" label="Enable Grouping" onAction="OnActionCheckbox" getPressed="GetPressedCheckbox" getEnabled="GetEnabled"/>
          <button id="btnExpandAllGroups" label="Expand Groups" size="normal" screentip="Expands a collapsed group of cells" imageMso="OutlineShowDetail" onAction="OutlineShowDetailRib" getEnabled="GetEnabled"/>
          <button id="btnCollapseAllGroups" label="Collapse Groups" size="normal" screentip="Collapse group of cells" imageMso="OutlineHideDetail" onAction="OutlineHideDetailRib" getEnabled="GetEnabled"/>
        </group>
        <group id="grpDisplay" label="Height/Width" getVisible="GetVisible"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1" label=" " getVisible="GetVisible">
          <button id="btnResources" size="large" label="Resources" image="Resources64.png" onAction="ShowResources" getEnabled="GetEnabled" keytip="R"/>
        </group>
        <group id="grpSettings2" label=" " getVisible="GetVisible">
          <button id="btnHolidays" size="large" label="Holidays" image="Holidays64.png" onAction="ShowHolidayList" keytip="H" getEnabled="GetEnabled"/>
        </group>
        <group id="grpSettings" label=" " getVisible="GetVisible"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  <tab idMso="TabReview">
        <group id="grpSpellCheck" label="Proofing" insertBeforeMso="GroupProofing" getVisible="HideProofingGroups">
          <button id="btnSpellCheck" size="large" label="Resources" imageMso="GroupBlogProofing" onAction="SpellChecking" getEnabled="GetEnabled"/>
        </group>
        <group idMso="GroupProofing" getVisible="HideProofingGroups"/>
      </tab>
      <tab idMso="TabData">
        <group id="grpFilter" label="Filter" getVisible="HideFilterGroups" insertBeforeMso="GroupSortFilter">
          <button id="btnFilterAdd" size="large" label="Filter" imageMso="Filters" onAction="AddFilterToTasks" getEnabled="GetEnabled"/>
          <button id="btnFilterClear" size="large" label="Clear" imageMso="FilterClear" onAction="ClearFilterToTasks" getEnabled="GetEnabled"/>
        </group>
        <group idMso="GroupSortFilter" getVisible="HideFilterGroups"/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Help</vt:lpstr>
      <vt:lpstr>Project Plan</vt:lpstr>
      <vt:lpstr>DashboardTemplate!Print_Area</vt:lpstr>
      <vt:lpstr>DashboardTemplate!Print_Titles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Aspire</cp:lastModifiedBy>
  <cp:revision>0</cp:revision>
  <cp:lastPrinted>2018-07-21T06:46:12Z</cp:lastPrinted>
  <dcterms:created xsi:type="dcterms:W3CDTF">2016-09-10T13:03:48Z</dcterms:created>
  <dcterms:modified xsi:type="dcterms:W3CDTF">2019-03-08T04:10:24Z</dcterms:modified>
  <cp:category>Excel Template</cp:category>
  <cp:version>2.61</cp:version>
</cp:coreProperties>
</file>